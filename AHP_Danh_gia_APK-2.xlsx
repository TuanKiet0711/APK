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nguyenvantoan/Downloads/"/>
    </mc:Choice>
  </mc:AlternateContent>
  <xr:revisionPtr revIDLastSave="0" documentId="13_ncr:1_{2B698DA2-F6BC-EB48-A341-C928ED3AB85B}" xr6:coauthVersionLast="47" xr6:coauthVersionMax="47" xr10:uidLastSave="{00000000-0000-0000-0000-000000000000}"/>
  <bookViews>
    <workbookView xWindow="0" yWindow="600" windowWidth="28800" windowHeight="15820" tabRatio="500" activeTab="6" xr2:uid="{00000000-000D-0000-FFFF-FFFF00000000}"/>
  </bookViews>
  <sheets>
    <sheet name="1. Tổng quan &amp; Công thức" sheetId="1" r:id="rId1"/>
    <sheet name="2. So sánh 4 Tiêu chí" sheetId="2" r:id="rId2"/>
    <sheet name="3. C1-Permissions" sheetId="3" r:id="rId3"/>
    <sheet name="4. C2-API Calls" sheetId="4" r:id="rId4"/>
    <sheet name="5. C3-Intents" sheetId="5" r:id="rId5"/>
    <sheet name="6. C4-Commands" sheetId="6" r:id="rId6"/>
    <sheet name="7. RiskScore &amp; Verdict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0" i="3" l="1"/>
  <c r="C30" i="6"/>
  <c r="E40" i="7"/>
  <c r="E39" i="7"/>
  <c r="E38" i="7"/>
  <c r="C16" i="7"/>
  <c r="C15" i="7"/>
  <c r="E14" i="7"/>
  <c r="D14" i="7"/>
  <c r="E41" i="6"/>
  <c r="F16" i="7" s="1"/>
  <c r="E40" i="6"/>
  <c r="F15" i="7" s="1"/>
  <c r="E39" i="6"/>
  <c r="F14" i="7" s="1"/>
  <c r="E17" i="6"/>
  <c r="E16" i="6"/>
  <c r="E15" i="6"/>
  <c r="E11" i="6"/>
  <c r="D11" i="6"/>
  <c r="D16" i="6" s="1"/>
  <c r="D10" i="6"/>
  <c r="D17" i="6" s="1"/>
  <c r="C10" i="6"/>
  <c r="C9" i="6"/>
  <c r="E8" i="6"/>
  <c r="D8" i="6"/>
  <c r="D15" i="6" s="1"/>
  <c r="E41" i="5"/>
  <c r="E16" i="7" s="1"/>
  <c r="E40" i="5"/>
  <c r="E15" i="7" s="1"/>
  <c r="E39" i="5"/>
  <c r="D10" i="5"/>
  <c r="D11" i="5" s="1"/>
  <c r="C10" i="5"/>
  <c r="E9" i="5"/>
  <c r="C9" i="5"/>
  <c r="E8" i="5"/>
  <c r="E11" i="5" s="1"/>
  <c r="E41" i="4"/>
  <c r="D16" i="7" s="1"/>
  <c r="E40" i="4"/>
  <c r="D15" i="7" s="1"/>
  <c r="E39" i="4"/>
  <c r="E17" i="4"/>
  <c r="E16" i="4"/>
  <c r="E15" i="4"/>
  <c r="E11" i="4"/>
  <c r="D11" i="4"/>
  <c r="D16" i="4" s="1"/>
  <c r="D10" i="4"/>
  <c r="D17" i="4" s="1"/>
  <c r="C10" i="4"/>
  <c r="C9" i="4"/>
  <c r="D8" i="4"/>
  <c r="D15" i="4" s="1"/>
  <c r="E41" i="3"/>
  <c r="E40" i="3"/>
  <c r="E39" i="3"/>
  <c r="C14" i="7" s="1"/>
  <c r="E11" i="3"/>
  <c r="E17" i="3" s="1"/>
  <c r="D10" i="3"/>
  <c r="D11" i="3" s="1"/>
  <c r="C10" i="3"/>
  <c r="E9" i="3"/>
  <c r="E16" i="3" s="1"/>
  <c r="C9" i="3"/>
  <c r="F10" i="2"/>
  <c r="F17" i="2" s="1"/>
  <c r="E9" i="2"/>
  <c r="E10" i="2" s="1"/>
  <c r="D9" i="2"/>
  <c r="C9" i="2"/>
  <c r="F8" i="2"/>
  <c r="D8" i="2"/>
  <c r="D10" i="2" s="1"/>
  <c r="C8" i="2"/>
  <c r="C7" i="2"/>
  <c r="D16" i="5" l="1"/>
  <c r="D15" i="5"/>
  <c r="C17" i="3"/>
  <c r="F17" i="3" s="1"/>
  <c r="C17" i="4"/>
  <c r="F17" i="4" s="1"/>
  <c r="E16" i="2"/>
  <c r="E17" i="2"/>
  <c r="E15" i="2"/>
  <c r="C17" i="6"/>
  <c r="F17" i="6" s="1"/>
  <c r="C17" i="2"/>
  <c r="D16" i="2"/>
  <c r="D17" i="2"/>
  <c r="D15" i="2"/>
  <c r="D18" i="2"/>
  <c r="D17" i="3"/>
  <c r="D15" i="3"/>
  <c r="D16" i="3"/>
  <c r="E16" i="5"/>
  <c r="E17" i="5"/>
  <c r="F16" i="2"/>
  <c r="D17" i="5"/>
  <c r="E18" i="2"/>
  <c r="C11" i="3"/>
  <c r="C15" i="3" s="1"/>
  <c r="E15" i="5"/>
  <c r="C16" i="6"/>
  <c r="F16" i="6" s="1"/>
  <c r="F18" i="2"/>
  <c r="C11" i="6"/>
  <c r="C15" i="6" s="1"/>
  <c r="F15" i="6" s="1"/>
  <c r="F15" i="2"/>
  <c r="C10" i="2"/>
  <c r="C11" i="5"/>
  <c r="C16" i="2"/>
  <c r="C16" i="4"/>
  <c r="F16" i="4" s="1"/>
  <c r="E15" i="3"/>
  <c r="C11" i="4"/>
  <c r="C15" i="4" s="1"/>
  <c r="F15" i="4" s="1"/>
  <c r="C23" i="4" l="1"/>
  <c r="C25" i="4"/>
  <c r="C24" i="4"/>
  <c r="G16" i="2"/>
  <c r="C8" i="7" s="1"/>
  <c r="C16" i="5"/>
  <c r="F16" i="5" s="1"/>
  <c r="C17" i="5"/>
  <c r="F17" i="5" s="1"/>
  <c r="C15" i="5"/>
  <c r="F15" i="5" s="1"/>
  <c r="C15" i="2"/>
  <c r="G15" i="2" s="1"/>
  <c r="C18" i="2"/>
  <c r="G18" i="2" s="1"/>
  <c r="C10" i="7" s="1"/>
  <c r="G17" i="2"/>
  <c r="C9" i="7" s="1"/>
  <c r="F15" i="3"/>
  <c r="C25" i="6"/>
  <c r="C23" i="6"/>
  <c r="C16" i="3"/>
  <c r="F16" i="3" s="1"/>
  <c r="C24" i="6"/>
  <c r="B27" i="6" l="1"/>
  <c r="B28" i="6" s="1"/>
  <c r="B30" i="6" s="1"/>
  <c r="C23" i="3"/>
  <c r="C24" i="3"/>
  <c r="C25" i="3"/>
  <c r="C25" i="2"/>
  <c r="G19" i="2"/>
  <c r="C7" i="7"/>
  <c r="C27" i="2"/>
  <c r="C28" i="2"/>
  <c r="C26" i="2"/>
  <c r="C25" i="5"/>
  <c r="C23" i="5"/>
  <c r="B27" i="5" s="1"/>
  <c r="B28" i="5" s="1"/>
  <c r="B30" i="5" s="1"/>
  <c r="C30" i="5" s="1"/>
  <c r="C24" i="5"/>
  <c r="B27" i="4"/>
  <c r="B28" i="4" s="1"/>
  <c r="B30" i="4" s="1"/>
  <c r="C30" i="4" s="1"/>
  <c r="C33" i="7" l="1"/>
  <c r="C40" i="7" s="1"/>
  <c r="D40" i="7" s="1"/>
  <c r="C32" i="7"/>
  <c r="C39" i="7" s="1"/>
  <c r="D39" i="7" s="1"/>
  <c r="C31" i="7"/>
  <c r="C38" i="7" s="1"/>
  <c r="D38" i="7" s="1"/>
  <c r="B30" i="2"/>
  <c r="B31" i="2" s="1"/>
  <c r="B33" i="2" s="1"/>
  <c r="C33" i="2" s="1"/>
  <c r="B27" i="3"/>
  <c r="B28" i="3" s="1"/>
  <c r="B30" i="3" s="1"/>
</calcChain>
</file>

<file path=xl/sharedStrings.xml><?xml version="1.0" encoding="utf-8"?>
<sst xmlns="http://schemas.openxmlformats.org/spreadsheetml/2006/main" count="305" uniqueCount="144">
  <si>
    <t>HỆ HỖ TRỢ RA QUYẾT ĐỊNH ĐÁNH GIÁ MỨC ĐỘ NGUY HIỂM APK ANDROID</t>
  </si>
  <si>
    <t>KẾT HỢP AI (RANDOM FOREST) + PHƯƠNG PHÁP AHP</t>
  </si>
  <si>
    <t>I. CẤU TRÚC PHÂN CẤP AHP</t>
  </si>
  <si>
    <t>LEVEL 1 - MỤC TIÊU (GOAL):</t>
  </si>
  <si>
    <t>Đánh giá mức độ nguy hiểm của file APK Android</t>
  </si>
  <si>
    <t>LEVEL 2 - CÁC TIÊU CHÍ ĐÁNH GIÁ (4 nhóm đặc trưng):</t>
  </si>
  <si>
    <t>C1</t>
  </si>
  <si>
    <t>Permissions (Quyền hạn truy cập)</t>
  </si>
  <si>
    <t>~113 đặc trưng</t>
  </si>
  <si>
    <t>VD: SEND_SMS, READ_PHONE_STATE, RECEIVE_SMS, READ_SMS, GET_ACCOUNTS, INTERNET</t>
  </si>
  <si>
    <t>Lớp bảo mật đầu tiên - rủi ro TÀI CHÍNH và RIÊNG TƯ cao</t>
  </si>
  <si>
    <t>C2</t>
  </si>
  <si>
    <t>API Calls (Lời gọi API nhạy cảm)</t>
  </si>
  <si>
    <t>~42 đặc trưng</t>
  </si>
  <si>
    <t>VD: SmsManager, getSubscriberId, getDeviceId, Runtime.getRuntime, getMethods</t>
  </si>
  <si>
    <t>Hành vi thực sự - phát hiện hoạt động NGẦM</t>
  </si>
  <si>
    <t>C3</t>
  </si>
  <si>
    <t>Intents (Ý định &amp; Sự kiện hệ thống)</t>
  </si>
  <si>
    <t>~24 đặc trưng</t>
  </si>
  <si>
    <t>VD: BOOT_COMPLETED, PACKAGE_REPLACED, SEND_MULTIPLE</t>
  </si>
  <si>
    <t>Tự khởi động và theo dõi sự kiện - rủi ro HỆ THỐNG</t>
  </si>
  <si>
    <t>C4</t>
  </si>
  <si>
    <t>Commands (Lệnh &amp; Phần cứng)</t>
  </si>
  <si>
    <t>~36 đặc trưng</t>
  </si>
  <si>
    <t>VD: mount, chmod, chown, /system/bin, CAMERA, GPS, NFC</t>
  </si>
  <si>
    <t>Leo thang đặc quyền (root) - nguy hiểm cực kỳ cao</t>
  </si>
  <si>
    <t>LEVEL 3 - CÁC PHƯƠNG ÁN:</t>
  </si>
  <si>
    <t>File APK cần đánh giá (APK1, APK2, APK3, ...)</t>
  </si>
  <si>
    <t>II. CÁC CÔNG THỨC TOÁN HỌC SỬ DỤNG</t>
  </si>
  <si>
    <t>A. Ma trận so sánh cặp (Pairwise Comparison Matrix)</t>
  </si>
  <si>
    <t>Thang đo Saaty (1-9):</t>
  </si>
  <si>
    <t>1=ngang nhau, 3=hơn chút, 5=hơn nhiều, 7=rất nhiều, 9=tuyệt đối</t>
  </si>
  <si>
    <t>Ma trận A = [aij] với aij = 1/aji</t>
  </si>
  <si>
    <t>B. Chuẩn hóa ma trận (Normalization)</t>
  </si>
  <si>
    <t>Normalized_ij = aij / Σ(aij) theo cột</t>
  </si>
  <si>
    <t>Trọng số wi = Trung bình theo hàng của ma trận chuẩn hóa</t>
  </si>
  <si>
    <t>C. Kiểm tra tính nhất quán (Consistency Ratio)</t>
  </si>
  <si>
    <t>λmax = Σ(Consistency Vector) / n</t>
  </si>
  <si>
    <t>CI = (λmax - n) / (n - 1)</t>
  </si>
  <si>
    <t>CR = CI / RI</t>
  </si>
  <si>
    <t>Điều kiện: CR &lt; 0.10 (10%) thì ma trận nhất quán</t>
  </si>
  <si>
    <t>RI(n=4) = 0.90 ; RI(n=3) = 0.58</t>
  </si>
  <si>
    <t>D. Điểm số nhóm đặc trưng (Group Score)</t>
  </si>
  <si>
    <t>S_group = n_found / N_total</t>
  </si>
  <si>
    <t>Trong đó: n_found = số đặc trưng tìm thấy trong APK</t>
  </si>
  <si>
    <t xml:space="preserve">          N_total = tổng số đặc trưng trong nhóm (113, 42, 24, 36)</t>
  </si>
  <si>
    <t>E. Chỉ số rủi ro tổng hợp (RiskScore) - KẾT HỢP AI + AHP</t>
  </si>
  <si>
    <t>RiskScore = w_ML × P_ML + Σ(wi × Si)</t>
  </si>
  <si>
    <t>Trong đó:</t>
  </si>
  <si>
    <t>w_ML = trọng số AI (0.4 - 0.5)</t>
  </si>
  <si>
    <t>P_ML = xác suất độc hại từ Random Forest (0-1)</t>
  </si>
  <si>
    <t>wi = trọng số nhóm i từ AHP</t>
  </si>
  <si>
    <t>Si = điểm số nhóm i</t>
  </si>
  <si>
    <t>F. Phán quyết (Verdict)</t>
  </si>
  <si>
    <t>RiskScore &lt; 0.3  → AN TOÀN (Safe)</t>
  </si>
  <si>
    <t>0.3 ≤ RiskScore &lt; 0.7 → NGHI NGỜ (Suspicious) - Cảnh báo</t>
  </si>
  <si>
    <t>RiskScore ≥ 0.7  → NGUY HIỂM (Malware) - Chặn/Xóa</t>
  </si>
  <si>
    <t>BƯỚC 1: SO SÁNH CẶP 4 TIÊU CHÍ (CRITERIA)</t>
  </si>
  <si>
    <t>Ma trận so sánh cặp theo thang Saaty (1-9):</t>
  </si>
  <si>
    <t>C1-Permissions</t>
  </si>
  <si>
    <t>C2-API Calls</t>
  </si>
  <si>
    <t>C3-Intents</t>
  </si>
  <si>
    <t>C4-Commands</t>
  </si>
  <si>
    <t>SUM (Σ)</t>
  </si>
  <si>
    <t>Ma trận chuẩn hóa (Normalized Matrix):</t>
  </si>
  <si>
    <t>Trọng số (wi)</t>
  </si>
  <si>
    <t>TỔNG</t>
  </si>
  <si>
    <t>KIỂM TRA TÍNH NHẤT QUÁN (Consistency Ratio)</t>
  </si>
  <si>
    <t>1. Consistency Vector (CV):</t>
  </si>
  <si>
    <t>2. Lambda max (λmax):</t>
  </si>
  <si>
    <t>(Trung bình của CV)</t>
  </si>
  <si>
    <t>3. CI (Consistency Index):</t>
  </si>
  <si>
    <t>4. RI (Random Index, n=4):</t>
  </si>
  <si>
    <t>(Tra bảng chuẩn)</t>
  </si>
  <si>
    <t>5. CR (Consistency Ratio):</t>
  </si>
  <si>
    <t>SO SÁNH APK THEO TIÊU CHÍ: Permissions (Quyền hạn)</t>
  </si>
  <si>
    <t>C1: Lớp bảo mật đầu tiên - App đèn pin đòi SEND_SMS = rủi ro cực cao</t>
  </si>
  <si>
    <t>Tổng số đặc trưng trong nhóm: 113</t>
  </si>
  <si>
    <t>PHẦN 1: MA TRẬN SO SÁNH CẶP &amp; TÍNH TRỌNG SỐ</t>
  </si>
  <si>
    <t>Permissions (Quyền hạn)</t>
  </si>
  <si>
    <t>APK 1</t>
  </si>
  <si>
    <t>APK 2</t>
  </si>
  <si>
    <t>APK 3</t>
  </si>
  <si>
    <t>Ma trận chuẩn hóa:</t>
  </si>
  <si>
    <t>PHẦN 2: KIỂM TRA TÍNH NHẤT QUÁN</t>
  </si>
  <si>
    <t>Consistency Vector:</t>
  </si>
  <si>
    <t>Lambda max:</t>
  </si>
  <si>
    <t>CI:</t>
  </si>
  <si>
    <t>RI (n=3):</t>
  </si>
  <si>
    <t>CR:</t>
  </si>
  <si>
    <t>PHẦN 3: ĐIỂM SỐ NHÓM ĐẶC TRƯNG (Group Score)</t>
  </si>
  <si>
    <t>Công thức: S_group = n_found / N_total</t>
  </si>
  <si>
    <t>N_total = 113 đặc trưng</t>
  </si>
  <si>
    <t>APK</t>
  </si>
  <si>
    <t>n_found</t>
  </si>
  <si>
    <t>N_total</t>
  </si>
  <si>
    <t>S_group</t>
  </si>
  <si>
    <t>SO SÁNH APK THEO TIÊU CHÍ: API Calls (Lời gọi API)</t>
  </si>
  <si>
    <t>C2: Hành vi thực sự - Quyền chỉ là xin phép, API Call mới là hành động</t>
  </si>
  <si>
    <t>Tổng số đặc trưng trong nhóm: 42</t>
  </si>
  <si>
    <t>API Calls (Lời gọi API)</t>
  </si>
  <si>
    <t>N_total = 42 đặc trưng</t>
  </si>
  <si>
    <t>SO SÁNH APK THEO TIÊU CHÍ: Intents (Sự kiện hệ thống)</t>
  </si>
  <si>
    <t>C3: Tự khởi động khi bật máy (BOOT_COMPLETED) - mã độc thường dùng</t>
  </si>
  <si>
    <t>Tổng số đặc trưng trong nhóm: 24</t>
  </si>
  <si>
    <t>Intents (Sự kiện hệ thống)</t>
  </si>
  <si>
    <t>N_total = 24 đặc trưng</t>
  </si>
  <si>
    <t>SO SÁNH APK THEO TIÊU CHÍ: Commands (Lệnh &amp; Phần cứng)</t>
  </si>
  <si>
    <t>C4: Leo thang đặc quyền (chmod, mount) - nguy hiểm nhất</t>
  </si>
  <si>
    <t>Tổng số đặc trưng trong nhóm: 36</t>
  </si>
  <si>
    <t>N_total = 36 đặc trưng</t>
  </si>
  <si>
    <t>KẾT QUẢ CUỐI CÙNG: RISK SCORE &amp; VERDICT</t>
  </si>
  <si>
    <t>CÔNG THỨC: RiskScore = w_ML × P_ML + Σ(wi × Si)</t>
  </si>
  <si>
    <t>I. TRỌNG SỐ TIÊU CHÍ (từ Sheet 2 - AHP)</t>
  </si>
  <si>
    <t>Tiêu chí</t>
  </si>
  <si>
    <t>Nguồn</t>
  </si>
  <si>
    <t>AHP Matrix</t>
  </si>
  <si>
    <t>II. ĐIỂM SỐ NHÓM (Group Score)</t>
  </si>
  <si>
    <t>S_C1</t>
  </si>
  <si>
    <t>S_C2</t>
  </si>
  <si>
    <t>S_C3</t>
  </si>
  <si>
    <t>S_C4</t>
  </si>
  <si>
    <t>APK1</t>
  </si>
  <si>
    <t>APK2</t>
  </si>
  <si>
    <t>APK3</t>
  </si>
  <si>
    <t>III. THAM SỐ AI (RANDOM FOREST)</t>
  </si>
  <si>
    <t>w_ML (Trọng số AI):</t>
  </si>
  <si>
    <t>(Có thể điều chỉnh 0.3-0.5)</t>
  </si>
  <si>
    <t>P_ML (Xác suất AI)</t>
  </si>
  <si>
    <t>* P_ML (màu vàng) là VÍ DỤ - thay bằng kết quả từ Random Forest model</t>
  </si>
  <si>
    <t>IV. TÍNH RISKSCORE TỔNG HỢP (AI + AHP)</t>
  </si>
  <si>
    <t>RiskScore</t>
  </si>
  <si>
    <t>Công thức chi tiết</t>
  </si>
  <si>
    <t>w_ML×P_ML + Σ(wi×Si)</t>
  </si>
  <si>
    <t>V. PHÁN QUYẾT (VERDICT)</t>
  </si>
  <si>
    <t>Verdict</t>
  </si>
  <si>
    <t>Khuyến nghị</t>
  </si>
  <si>
    <t>GIẢI THÍCH NGƯỠNG:</t>
  </si>
  <si>
    <t>• RiskScore &lt; 0.3:</t>
  </si>
  <si>
    <t>AN TOÀN - Cho phép cài đặt</t>
  </si>
  <si>
    <t>• 0.3 ≤ RiskScore &lt; 0.7:</t>
  </si>
  <si>
    <t>NGHI NGỜ - Cảnh báo các quyền nhạy cảm</t>
  </si>
  <si>
    <t>• RiskScore ≥ 0.7:</t>
  </si>
  <si>
    <t>NGUY HIỂM - Khuyến cáo chặn/xóa lập tức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</si>
</sst>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19" x14ac:knownFonts="1">
    <font>
      <sz val="11"/>
      <color theme="1"/>
      <name val="Calibri"/>
      <family val="2"/>
      <charset val="1"/>
    </font>
    <font>
      <b/>
      <sz val="14"/>
      <color rgb="FFFF000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0"/>
      <color rgb="FF0000FF"/>
      <name val="Arial"/>
      <family val="2"/>
    </font>
    <font>
      <b/>
      <sz val="10"/>
      <name val="Arial"/>
      <family val="2"/>
    </font>
    <font>
      <i/>
      <sz val="9"/>
      <name val="Arial"/>
      <family val="2"/>
    </font>
    <font>
      <sz val="8"/>
      <name val="Arial"/>
      <family val="2"/>
    </font>
    <font>
      <sz val="9"/>
      <color rgb="FFFF0000"/>
      <name val="Arial"/>
      <family val="2"/>
    </font>
    <font>
      <b/>
      <sz val="9"/>
      <color rgb="FF0000FF"/>
      <name val="Arial"/>
      <family val="2"/>
    </font>
    <font>
      <b/>
      <sz val="12"/>
      <color rgb="FFFF0000"/>
      <name val="Arial"/>
      <family val="2"/>
    </font>
    <font>
      <b/>
      <sz val="11"/>
      <color rgb="FF0000FF"/>
      <name val="Arial"/>
      <family val="2"/>
    </font>
    <font>
      <sz val="10"/>
      <color rgb="FF000000"/>
      <name val="Arial"/>
      <family val="2"/>
    </font>
    <font>
      <i/>
      <sz val="10"/>
      <color rgb="FF666666"/>
      <name val="Arial"/>
      <family val="2"/>
    </font>
    <font>
      <sz val="10"/>
      <name val="Arial"/>
      <family val="2"/>
    </font>
    <font>
      <b/>
      <sz val="11"/>
      <color rgb="FFFF0000"/>
      <name val="Arial"/>
      <family val="2"/>
    </font>
    <font>
      <i/>
      <sz val="10"/>
      <name val="Arial"/>
      <family val="2"/>
    </font>
    <font>
      <i/>
      <sz val="9"/>
      <color rgb="FFFF0000"/>
      <name val="Arial"/>
      <family val="2"/>
    </font>
    <font>
      <b/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0EE90"/>
        <bgColor rgb="FFADD8E6"/>
      </patternFill>
    </fill>
    <fill>
      <patternFill patternType="solid">
        <fgColor rgb="FFFFFF00"/>
        <bgColor rgb="FFFFFF00"/>
      </patternFill>
    </fill>
    <fill>
      <patternFill patternType="solid">
        <fgColor rgb="FFFF6B6B"/>
        <bgColor rgb="FFFF6600"/>
      </patternFill>
    </fill>
    <fill>
      <patternFill patternType="solid">
        <fgColor rgb="FFADD8E6"/>
        <bgColor rgb="FFD3D3D3"/>
      </patternFill>
    </fill>
    <fill>
      <patternFill patternType="solid">
        <fgColor rgb="FFFFE6E6"/>
        <bgColor rgb="FFFFFFCC"/>
      </patternFill>
    </fill>
    <fill>
      <patternFill patternType="solid">
        <fgColor rgb="FFFFD580"/>
        <bgColor rgb="FFFFCCCC"/>
      </patternFill>
    </fill>
    <fill>
      <patternFill patternType="solid">
        <fgColor rgb="FFFFCCCC"/>
        <bgColor rgb="FFFFE6E6"/>
      </patternFill>
    </fill>
    <fill>
      <patternFill patternType="solid">
        <fgColor rgb="FFD3D3D3"/>
        <bgColor rgb="FF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/>
    <xf numFmtId="0" fontId="11" fillId="3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3" fillId="2" borderId="0" xfId="0" applyFont="1" applyFill="1"/>
    <xf numFmtId="164" fontId="0" fillId="2" borderId="1" xfId="0" applyNumberFormat="1" applyFill="1" applyBorder="1"/>
    <xf numFmtId="0" fontId="3" fillId="7" borderId="1" xfId="0" applyFont="1" applyFill="1" applyBorder="1"/>
    <xf numFmtId="164" fontId="0" fillId="0" borderId="1" xfId="0" applyNumberFormat="1" applyBorder="1"/>
    <xf numFmtId="164" fontId="3" fillId="7" borderId="1" xfId="0" applyNumberFormat="1" applyFont="1" applyFill="1" applyBorder="1"/>
    <xf numFmtId="164" fontId="3" fillId="2" borderId="1" xfId="0" applyNumberFormat="1" applyFont="1" applyFill="1" applyBorder="1"/>
    <xf numFmtId="164" fontId="0" fillId="3" borderId="0" xfId="0" applyNumberFormat="1" applyFill="1"/>
    <xf numFmtId="164" fontId="3" fillId="3" borderId="0" xfId="0" applyNumberFormat="1" applyFont="1" applyFill="1"/>
    <xf numFmtId="165" fontId="0" fillId="3" borderId="0" xfId="0" applyNumberFormat="1" applyFill="1"/>
    <xf numFmtId="2" fontId="11" fillId="0" borderId="0" xfId="0" applyNumberFormat="1" applyFont="1"/>
    <xf numFmtId="10" fontId="10" fillId="8" borderId="0" xfId="0" applyNumberFormat="1" applyFont="1" applyFill="1"/>
    <xf numFmtId="0" fontId="3" fillId="9" borderId="0" xfId="0" applyFont="1" applyFill="1"/>
    <xf numFmtId="0" fontId="14" fillId="6" borderId="1" xfId="0" applyFont="1" applyFill="1" applyBorder="1" applyAlignment="1">
      <alignment horizontal="center"/>
    </xf>
    <xf numFmtId="0" fontId="11" fillId="0" borderId="0" xfId="0" applyFont="1"/>
    <xf numFmtId="0" fontId="15" fillId="0" borderId="0" xfId="0" applyFont="1"/>
    <xf numFmtId="10" fontId="15" fillId="8" borderId="0" xfId="0" applyNumberFormat="1" applyFont="1" applyFill="1"/>
    <xf numFmtId="0" fontId="16" fillId="0" borderId="0" xfId="0" applyFont="1"/>
    <xf numFmtId="0" fontId="3" fillId="5" borderId="0" xfId="0" applyFont="1" applyFill="1"/>
    <xf numFmtId="0" fontId="4" fillId="3" borderId="1" xfId="0" applyFont="1" applyFill="1" applyBorder="1"/>
    <xf numFmtId="0" fontId="0" fillId="0" borderId="1" xfId="0" applyBorder="1"/>
    <xf numFmtId="0" fontId="17" fillId="0" borderId="0" xfId="0" applyFont="1"/>
    <xf numFmtId="0" fontId="3" fillId="0" borderId="1" xfId="0" applyFont="1" applyBorder="1"/>
    <xf numFmtId="0" fontId="6" fillId="0" borderId="1" xfId="0" applyFont="1" applyBorder="1"/>
    <xf numFmtId="2" fontId="11" fillId="3" borderId="0" xfId="0" applyNumberFormat="1" applyFont="1" applyFill="1"/>
    <xf numFmtId="164" fontId="11" fillId="3" borderId="1" xfId="0" applyNumberFormat="1" applyFont="1" applyFill="1" applyBorder="1"/>
    <xf numFmtId="0" fontId="10" fillId="9" borderId="0" xfId="0" applyFont="1" applyFill="1"/>
    <xf numFmtId="164" fontId="18" fillId="7" borderId="1" xfId="0" applyNumberFormat="1" applyFont="1" applyFill="1" applyBorder="1"/>
    <xf numFmtId="164" fontId="3" fillId="0" borderId="1" xfId="0" applyNumberFormat="1" applyFont="1" applyBorder="1"/>
    <xf numFmtId="0" fontId="5" fillId="0" borderId="1" xfId="0" applyFont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3" fillId="0" borderId="0" xfId="0" applyFont="1"/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CCC"/>
      <rgbColor rgb="FF808080"/>
      <rgbColor rgb="FF9999FF"/>
      <rgbColor rgb="FF993366"/>
      <rgbColor rgb="FFFFFFCC"/>
      <rgbColor rgb="FFCCFFFF"/>
      <rgbColor rgb="FF660066"/>
      <rgbColor rgb="FFFF6B6B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0EE90"/>
      <rgbColor rgb="FFFFFF99"/>
      <rgbColor rgb="FFADD8E6"/>
      <rgbColor rgb="FFFF99CC"/>
      <rgbColor rgb="FFCC99FF"/>
      <rgbColor rgb="FFFFD580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opLeftCell="A39" zoomScaleNormal="100" workbookViewId="0">
      <selection activeCell="B26" sqref="B26"/>
    </sheetView>
  </sheetViews>
  <sheetFormatPr baseColWidth="10" defaultColWidth="8.6640625" defaultRowHeight="15" x14ac:dyDescent="0.2"/>
  <cols>
    <col min="1" max="1" width="35" customWidth="1"/>
    <col min="2" max="2" width="45" customWidth="1"/>
    <col min="3" max="3" width="15" customWidth="1"/>
    <col min="4" max="4" width="50" customWidth="1"/>
    <col min="5" max="5" width="40" customWidth="1"/>
  </cols>
  <sheetData>
    <row r="1" spans="1:8" ht="18" x14ac:dyDescent="0.2">
      <c r="A1" s="46" t="s">
        <v>0</v>
      </c>
      <c r="B1" s="46"/>
      <c r="C1" s="46"/>
      <c r="D1" s="46"/>
      <c r="E1" s="46"/>
      <c r="F1" s="46"/>
      <c r="G1" s="46"/>
      <c r="H1" s="46"/>
    </row>
    <row r="3" spans="1:8" ht="18" x14ac:dyDescent="0.2">
      <c r="A3" s="47" t="s">
        <v>1</v>
      </c>
      <c r="B3" s="47"/>
      <c r="C3" s="47"/>
      <c r="D3" s="47"/>
      <c r="E3" s="47"/>
      <c r="F3" s="47"/>
      <c r="G3" s="47"/>
      <c r="H3" s="47"/>
    </row>
    <row r="5" spans="1:8" ht="18" x14ac:dyDescent="0.2">
      <c r="A5" s="1" t="s">
        <v>2</v>
      </c>
    </row>
    <row r="7" spans="1:8" x14ac:dyDescent="0.2">
      <c r="A7" s="2" t="s">
        <v>3</v>
      </c>
      <c r="B7" t="s">
        <v>4</v>
      </c>
    </row>
    <row r="9" spans="1:8" x14ac:dyDescent="0.2">
      <c r="A9" s="2" t="s">
        <v>5</v>
      </c>
    </row>
    <row r="10" spans="1:8" x14ac:dyDescent="0.2">
      <c r="A10" s="3" t="s">
        <v>6</v>
      </c>
      <c r="B10" s="4" t="s">
        <v>7</v>
      </c>
      <c r="C10" s="5" t="s">
        <v>8</v>
      </c>
      <c r="D10" s="6" t="s">
        <v>9</v>
      </c>
      <c r="E10" s="7" t="s">
        <v>10</v>
      </c>
    </row>
    <row r="11" spans="1:8" x14ac:dyDescent="0.2">
      <c r="A11" s="3" t="s">
        <v>11</v>
      </c>
      <c r="B11" s="4" t="s">
        <v>12</v>
      </c>
      <c r="C11" s="5" t="s">
        <v>13</v>
      </c>
      <c r="D11" s="6" t="s">
        <v>14</v>
      </c>
      <c r="E11" s="7" t="s">
        <v>15</v>
      </c>
    </row>
    <row r="12" spans="1:8" x14ac:dyDescent="0.2">
      <c r="A12" s="3" t="s">
        <v>16</v>
      </c>
      <c r="B12" s="4" t="s">
        <v>17</v>
      </c>
      <c r="C12" s="5" t="s">
        <v>18</v>
      </c>
      <c r="D12" s="6" t="s">
        <v>19</v>
      </c>
      <c r="E12" s="7" t="s">
        <v>20</v>
      </c>
    </row>
    <row r="13" spans="1:8" x14ac:dyDescent="0.2">
      <c r="A13" s="3" t="s">
        <v>21</v>
      </c>
      <c r="B13" s="4" t="s">
        <v>22</v>
      </c>
      <c r="C13" s="5" t="s">
        <v>23</v>
      </c>
      <c r="D13" s="6" t="s">
        <v>24</v>
      </c>
      <c r="E13" s="7" t="s">
        <v>25</v>
      </c>
    </row>
    <row r="15" spans="1:8" x14ac:dyDescent="0.2">
      <c r="A15" s="2" t="s">
        <v>26</v>
      </c>
      <c r="B15" t="s">
        <v>27</v>
      </c>
    </row>
    <row r="18" spans="1:2" ht="18" x14ac:dyDescent="0.2">
      <c r="A18" s="1" t="s">
        <v>28</v>
      </c>
    </row>
    <row r="20" spans="1:2" x14ac:dyDescent="0.2">
      <c r="A20" s="2" t="s">
        <v>29</v>
      </c>
    </row>
    <row r="21" spans="1:2" x14ac:dyDescent="0.2">
      <c r="A21" t="s">
        <v>30</v>
      </c>
      <c r="B21" t="s">
        <v>31</v>
      </c>
    </row>
    <row r="22" spans="1:2" x14ac:dyDescent="0.2">
      <c r="A22" t="s">
        <v>32</v>
      </c>
    </row>
    <row r="24" spans="1:2" x14ac:dyDescent="0.2">
      <c r="A24" s="2" t="s">
        <v>33</v>
      </c>
    </row>
    <row r="25" spans="1:2" x14ac:dyDescent="0.2">
      <c r="A25" t="s">
        <v>34</v>
      </c>
    </row>
    <row r="26" spans="1:2" x14ac:dyDescent="0.2">
      <c r="A26" t="s">
        <v>35</v>
      </c>
    </row>
    <row r="28" spans="1:2" x14ac:dyDescent="0.2">
      <c r="A28" s="2" t="s">
        <v>36</v>
      </c>
    </row>
    <row r="29" spans="1:2" x14ac:dyDescent="0.2">
      <c r="A29" t="s">
        <v>37</v>
      </c>
    </row>
    <row r="30" spans="1:2" x14ac:dyDescent="0.2">
      <c r="A30" t="s">
        <v>38</v>
      </c>
    </row>
    <row r="31" spans="1:2" x14ac:dyDescent="0.2">
      <c r="A31" t="s">
        <v>39</v>
      </c>
    </row>
    <row r="32" spans="1:2" x14ac:dyDescent="0.2">
      <c r="A32" t="s">
        <v>40</v>
      </c>
      <c r="B32" s="8" t="s">
        <v>41</v>
      </c>
    </row>
    <row r="34" spans="1:2" x14ac:dyDescent="0.2">
      <c r="A34" s="2" t="s">
        <v>42</v>
      </c>
    </row>
    <row r="35" spans="1:2" x14ac:dyDescent="0.2">
      <c r="A35" t="s">
        <v>43</v>
      </c>
    </row>
    <row r="36" spans="1:2" x14ac:dyDescent="0.2">
      <c r="A36" t="s">
        <v>44</v>
      </c>
    </row>
    <row r="37" spans="1:2" x14ac:dyDescent="0.2">
      <c r="A37" t="s">
        <v>45</v>
      </c>
    </row>
    <row r="39" spans="1:2" ht="16" x14ac:dyDescent="0.2">
      <c r="A39" s="9" t="s">
        <v>46</v>
      </c>
    </row>
    <row r="40" spans="1:2" x14ac:dyDescent="0.2">
      <c r="A40" s="2" t="s">
        <v>47</v>
      </c>
    </row>
    <row r="41" spans="1:2" x14ac:dyDescent="0.2">
      <c r="A41" t="s">
        <v>48</v>
      </c>
      <c r="B41" t="s">
        <v>49</v>
      </c>
    </row>
    <row r="42" spans="1:2" x14ac:dyDescent="0.2">
      <c r="B42" t="s">
        <v>50</v>
      </c>
    </row>
    <row r="43" spans="1:2" x14ac:dyDescent="0.2">
      <c r="B43" t="s">
        <v>51</v>
      </c>
    </row>
    <row r="44" spans="1:2" x14ac:dyDescent="0.2">
      <c r="B44" t="s">
        <v>52</v>
      </c>
    </row>
    <row r="46" spans="1:2" x14ac:dyDescent="0.2">
      <c r="A46" s="2" t="s">
        <v>53</v>
      </c>
    </row>
    <row r="47" spans="1:2" x14ac:dyDescent="0.2">
      <c r="A47" s="10" t="s">
        <v>54</v>
      </c>
    </row>
    <row r="48" spans="1:2" x14ac:dyDescent="0.2">
      <c r="A48" s="11" t="s">
        <v>55</v>
      </c>
    </row>
    <row r="49" spans="1:1" x14ac:dyDescent="0.2">
      <c r="A49" s="12" t="s">
        <v>56</v>
      </c>
    </row>
  </sheetData>
  <mergeCells count="2">
    <mergeCell ref="A1:H1"/>
    <mergeCell ref="A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topLeftCell="A11" zoomScaleNormal="100" workbookViewId="0">
      <selection activeCell="E31" sqref="E31"/>
    </sheetView>
  </sheetViews>
  <sheetFormatPr baseColWidth="10" defaultColWidth="8.6640625" defaultRowHeight="15" x14ac:dyDescent="0.2"/>
  <cols>
    <col min="1" max="1" width="35" customWidth="1"/>
    <col min="2" max="2" width="18" customWidth="1"/>
    <col min="3" max="7" width="15" customWidth="1"/>
  </cols>
  <sheetData>
    <row r="1" spans="1:8" ht="18" x14ac:dyDescent="0.2">
      <c r="A1" s="48" t="s">
        <v>57</v>
      </c>
      <c r="B1" s="48"/>
      <c r="C1" s="48"/>
      <c r="D1" s="48"/>
      <c r="E1" s="48"/>
      <c r="F1" s="48"/>
      <c r="G1" s="48"/>
      <c r="H1" s="48"/>
    </row>
    <row r="3" spans="1:8" x14ac:dyDescent="0.2">
      <c r="A3" s="2" t="s">
        <v>58</v>
      </c>
    </row>
    <row r="5" spans="1:8" x14ac:dyDescent="0.2">
      <c r="C5" s="13" t="s">
        <v>59</v>
      </c>
      <c r="D5" s="13" t="s">
        <v>60</v>
      </c>
      <c r="E5" s="13" t="s">
        <v>61</v>
      </c>
      <c r="F5" s="13" t="s">
        <v>62</v>
      </c>
    </row>
    <row r="6" spans="1:8" x14ac:dyDescent="0.2">
      <c r="B6" s="14" t="s">
        <v>59</v>
      </c>
      <c r="C6" s="15">
        <v>1</v>
      </c>
      <c r="D6" s="15">
        <v>2</v>
      </c>
      <c r="E6" s="15">
        <v>4</v>
      </c>
      <c r="F6" s="15">
        <v>3</v>
      </c>
    </row>
    <row r="7" spans="1:8" x14ac:dyDescent="0.2">
      <c r="B7" s="14" t="s">
        <v>60</v>
      </c>
      <c r="C7" s="16">
        <f>1/C6</f>
        <v>1</v>
      </c>
      <c r="D7" s="15">
        <v>1</v>
      </c>
      <c r="E7" s="15">
        <v>3</v>
      </c>
      <c r="F7" s="15">
        <v>2</v>
      </c>
    </row>
    <row r="8" spans="1:8" x14ac:dyDescent="0.2">
      <c r="B8" s="14" t="s">
        <v>61</v>
      </c>
      <c r="C8" s="16">
        <f>1/D6</f>
        <v>0.5</v>
      </c>
      <c r="D8" s="16">
        <f>1/D7</f>
        <v>1</v>
      </c>
      <c r="E8" s="15">
        <v>1</v>
      </c>
      <c r="F8" s="16">
        <f>1/2</f>
        <v>0.5</v>
      </c>
    </row>
    <row r="9" spans="1:8" x14ac:dyDescent="0.2">
      <c r="B9" s="14" t="s">
        <v>62</v>
      </c>
      <c r="C9" s="16">
        <f>1/E6</f>
        <v>0.25</v>
      </c>
      <c r="D9" s="16">
        <f>1/E7</f>
        <v>0.33333333333333331</v>
      </c>
      <c r="E9" s="16">
        <f>1/E8</f>
        <v>1</v>
      </c>
      <c r="F9" s="15">
        <v>1</v>
      </c>
    </row>
    <row r="10" spans="1:8" x14ac:dyDescent="0.2">
      <c r="B10" s="17" t="s">
        <v>63</v>
      </c>
      <c r="C10" s="18">
        <f>SUM(C6:C9)</f>
        <v>2.75</v>
      </c>
      <c r="D10" s="18">
        <f>SUM(D6:D9)</f>
        <v>4.333333333333333</v>
      </c>
      <c r="E10" s="18">
        <f>SUM(E6:E9)</f>
        <v>9</v>
      </c>
      <c r="F10" s="18">
        <f>SUM(F6:F9)</f>
        <v>6.5</v>
      </c>
    </row>
    <row r="13" spans="1:8" x14ac:dyDescent="0.2">
      <c r="A13" s="2" t="s">
        <v>64</v>
      </c>
    </row>
    <row r="14" spans="1:8" x14ac:dyDescent="0.2">
      <c r="C14" s="14" t="s">
        <v>59</v>
      </c>
      <c r="D14" s="14" t="s">
        <v>60</v>
      </c>
      <c r="E14" s="14" t="s">
        <v>61</v>
      </c>
      <c r="F14" s="14" t="s">
        <v>62</v>
      </c>
      <c r="G14" s="19" t="s">
        <v>65</v>
      </c>
    </row>
    <row r="15" spans="1:8" x14ac:dyDescent="0.2">
      <c r="B15" s="14" t="s">
        <v>59</v>
      </c>
      <c r="C15" s="20">
        <f t="shared" ref="C15:F18" si="0">C6/C$10</f>
        <v>0.36363636363636365</v>
      </c>
      <c r="D15" s="20">
        <f t="shared" si="0"/>
        <v>0.46153846153846156</v>
      </c>
      <c r="E15" s="20">
        <f t="shared" si="0"/>
        <v>0.44444444444444442</v>
      </c>
      <c r="F15" s="20">
        <f t="shared" si="0"/>
        <v>0.46153846153846156</v>
      </c>
      <c r="G15" s="21">
        <f>AVERAGE(C15:F15)</f>
        <v>0.43278943278943283</v>
      </c>
    </row>
    <row r="16" spans="1:8" x14ac:dyDescent="0.2">
      <c r="B16" s="14" t="s">
        <v>60</v>
      </c>
      <c r="C16" s="20">
        <f t="shared" si="0"/>
        <v>0.36363636363636365</v>
      </c>
      <c r="D16" s="20">
        <f t="shared" si="0"/>
        <v>0.23076923076923078</v>
      </c>
      <c r="E16" s="20">
        <f t="shared" si="0"/>
        <v>0.33333333333333331</v>
      </c>
      <c r="F16" s="20">
        <f t="shared" si="0"/>
        <v>0.30769230769230771</v>
      </c>
      <c r="G16" s="21">
        <f>AVERAGE(C16:F16)</f>
        <v>0.30885780885780884</v>
      </c>
    </row>
    <row r="17" spans="1:7" x14ac:dyDescent="0.2">
      <c r="B17" s="14" t="s">
        <v>61</v>
      </c>
      <c r="C17" s="20">
        <f t="shared" si="0"/>
        <v>0.18181818181818182</v>
      </c>
      <c r="D17" s="20">
        <f t="shared" si="0"/>
        <v>0.23076923076923078</v>
      </c>
      <c r="E17" s="20">
        <f t="shared" si="0"/>
        <v>0.1111111111111111</v>
      </c>
      <c r="F17" s="20">
        <f t="shared" si="0"/>
        <v>7.6923076923076927E-2</v>
      </c>
      <c r="G17" s="21">
        <f>AVERAGE(C17:F17)</f>
        <v>0.15015540015540013</v>
      </c>
    </row>
    <row r="18" spans="1:7" x14ac:dyDescent="0.2">
      <c r="B18" s="14" t="s">
        <v>62</v>
      </c>
      <c r="C18" s="20">
        <f t="shared" si="0"/>
        <v>9.0909090909090912E-2</v>
      </c>
      <c r="D18" s="20">
        <f t="shared" si="0"/>
        <v>7.6923076923076927E-2</v>
      </c>
      <c r="E18" s="20">
        <f t="shared" si="0"/>
        <v>0.1111111111111111</v>
      </c>
      <c r="F18" s="20">
        <f t="shared" si="0"/>
        <v>0.15384615384615385</v>
      </c>
      <c r="G18" s="21">
        <f>AVERAGE(C18:F18)</f>
        <v>0.10819735819735821</v>
      </c>
    </row>
    <row r="19" spans="1:7" x14ac:dyDescent="0.2">
      <c r="B19" s="17" t="s">
        <v>66</v>
      </c>
      <c r="G19" s="22">
        <f>SUM(G15:G18)</f>
        <v>1</v>
      </c>
    </row>
    <row r="22" spans="1:7" ht="18" x14ac:dyDescent="0.2">
      <c r="A22" s="1" t="s">
        <v>67</v>
      </c>
    </row>
    <row r="24" spans="1:7" x14ac:dyDescent="0.2">
      <c r="A24" s="2" t="s">
        <v>68</v>
      </c>
    </row>
    <row r="25" spans="1:7" x14ac:dyDescent="0.2">
      <c r="B25" s="2" t="s">
        <v>59</v>
      </c>
      <c r="C25" s="23">
        <f>(C6*$G$15+D6*$G$16+E6*$G$17+F6*$G$18)/G15</f>
        <v>4.5650807899461396</v>
      </c>
    </row>
    <row r="26" spans="1:7" x14ac:dyDescent="0.2">
      <c r="B26" s="2" t="s">
        <v>60</v>
      </c>
      <c r="C26" s="23">
        <f>(C7*$G$15+D7*$G$16+E7*$G$17+F7*$G$18)/G16</f>
        <v>4.560377358490566</v>
      </c>
    </row>
    <row r="27" spans="1:7" x14ac:dyDescent="0.2">
      <c r="B27" s="2" t="s">
        <v>61</v>
      </c>
      <c r="C27" s="23">
        <f>(C8*$G$15+D8*$G$16+E8*$G$17+F8*$G$18)/G17</f>
        <v>4.8583441138421746</v>
      </c>
    </row>
    <row r="28" spans="1:7" x14ac:dyDescent="0.2">
      <c r="B28" s="2" t="s">
        <v>62</v>
      </c>
      <c r="C28" s="23">
        <f>(C9*$G$15+D9*$G$16+E9*$G$17+F9*$G$18)/G18</f>
        <v>4.3393177737881503</v>
      </c>
    </row>
    <row r="30" spans="1:7" x14ac:dyDescent="0.2">
      <c r="A30" s="2" t="s">
        <v>69</v>
      </c>
      <c r="B30" s="24">
        <f>AVERAGE(C25:C28)</f>
        <v>4.5807800090167579</v>
      </c>
      <c r="C30" s="5" t="s">
        <v>70</v>
      </c>
    </row>
    <row r="31" spans="1:7" x14ac:dyDescent="0.2">
      <c r="A31" s="2" t="s">
        <v>71</v>
      </c>
      <c r="B31" s="25">
        <f>(B30-4)/(4-1)</f>
        <v>0.19359333633891929</v>
      </c>
      <c r="C31" s="5" t="s">
        <v>38</v>
      </c>
    </row>
    <row r="32" spans="1:7" x14ac:dyDescent="0.2">
      <c r="A32" s="2" t="s">
        <v>72</v>
      </c>
      <c r="B32" s="26">
        <v>0.9</v>
      </c>
      <c r="C32" s="5" t="s">
        <v>73</v>
      </c>
    </row>
    <row r="33" spans="1:3" ht="16" x14ac:dyDescent="0.2">
      <c r="A33" s="9" t="s">
        <v>74</v>
      </c>
      <c r="B33" s="27">
        <f>B31/B32</f>
        <v>0.21510370704324364</v>
      </c>
      <c r="C33" s="2" t="str">
        <f>IF(B33&lt;0.1,"✓ NHẤT QUÁN (CR&lt;10%)","✗ KHÔNG NHẤT QUÁN - CẦN ĐÁNH GIÁ LẠI")</f>
        <v>✗ KHÔNG NHẤT QUÁN - CẦN ĐÁNH GIÁ LẠI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3"/>
  <sheetViews>
    <sheetView zoomScaleNormal="100" workbookViewId="0">
      <selection activeCell="E31" sqref="E31"/>
    </sheetView>
  </sheetViews>
  <sheetFormatPr baseColWidth="10" defaultColWidth="8.6640625" defaultRowHeight="15" x14ac:dyDescent="0.2"/>
  <cols>
    <col min="1" max="1" width="30" customWidth="1"/>
    <col min="2" max="2" width="18" customWidth="1"/>
    <col min="3" max="6" width="15" customWidth="1"/>
  </cols>
  <sheetData>
    <row r="1" spans="1:8" ht="18" x14ac:dyDescent="0.2">
      <c r="A1" s="48" t="s">
        <v>75</v>
      </c>
      <c r="B1" s="48"/>
      <c r="C1" s="48"/>
      <c r="D1" s="48"/>
      <c r="E1" s="48"/>
      <c r="F1" s="48"/>
      <c r="G1" s="48"/>
      <c r="H1" s="48"/>
    </row>
    <row r="2" spans="1:8" x14ac:dyDescent="0.2">
      <c r="A2" s="49" t="s">
        <v>76</v>
      </c>
      <c r="B2" s="49"/>
      <c r="C2" s="49"/>
      <c r="D2" s="49"/>
      <c r="E2" s="49"/>
      <c r="F2" s="49"/>
      <c r="G2" s="49"/>
      <c r="H2" s="49"/>
    </row>
    <row r="3" spans="1:8" x14ac:dyDescent="0.2">
      <c r="A3" s="3" t="s">
        <v>77</v>
      </c>
    </row>
    <row r="5" spans="1:8" x14ac:dyDescent="0.2">
      <c r="A5" s="28" t="s">
        <v>78</v>
      </c>
    </row>
    <row r="7" spans="1:8" x14ac:dyDescent="0.2">
      <c r="B7" s="2" t="s">
        <v>79</v>
      </c>
      <c r="C7" s="14" t="s">
        <v>80</v>
      </c>
      <c r="D7" s="14" t="s">
        <v>81</v>
      </c>
      <c r="E7" s="14" t="s">
        <v>82</v>
      </c>
    </row>
    <row r="8" spans="1:8" x14ac:dyDescent="0.2">
      <c r="B8" s="14" t="s">
        <v>80</v>
      </c>
      <c r="C8" s="15">
        <v>1</v>
      </c>
      <c r="D8" s="15">
        <v>3</v>
      </c>
      <c r="E8" s="15">
        <v>2</v>
      </c>
    </row>
    <row r="9" spans="1:8" x14ac:dyDescent="0.2">
      <c r="B9" s="14" t="s">
        <v>81</v>
      </c>
      <c r="C9" s="29">
        <f>1/C8</f>
        <v>1</v>
      </c>
      <c r="D9" s="15">
        <v>1</v>
      </c>
      <c r="E9" s="29">
        <f>1/2</f>
        <v>0.5</v>
      </c>
    </row>
    <row r="10" spans="1:8" x14ac:dyDescent="0.2">
      <c r="B10" s="14" t="s">
        <v>82</v>
      </c>
      <c r="C10" s="29">
        <f>1/D8</f>
        <v>0.33333333333333331</v>
      </c>
      <c r="D10" s="29">
        <f>1/D9</f>
        <v>1</v>
      </c>
      <c r="E10" s="15">
        <v>1</v>
      </c>
    </row>
    <row r="11" spans="1:8" x14ac:dyDescent="0.2">
      <c r="B11" s="17" t="s">
        <v>63</v>
      </c>
      <c r="C11" s="18">
        <f>SUM(C8:C10)</f>
        <v>2.3333333333333335</v>
      </c>
      <c r="D11" s="18">
        <f>SUM(D8:D10)</f>
        <v>5</v>
      </c>
      <c r="E11" s="18">
        <f>SUM(E8:E10)</f>
        <v>3.5</v>
      </c>
    </row>
    <row r="13" spans="1:8" x14ac:dyDescent="0.2">
      <c r="A13" s="2" t="s">
        <v>83</v>
      </c>
    </row>
    <row r="14" spans="1:8" x14ac:dyDescent="0.2">
      <c r="C14" s="14" t="s">
        <v>80</v>
      </c>
      <c r="D14" s="14" t="s">
        <v>81</v>
      </c>
      <c r="E14" s="14" t="s">
        <v>82</v>
      </c>
      <c r="F14" s="19" t="s">
        <v>65</v>
      </c>
    </row>
    <row r="15" spans="1:8" x14ac:dyDescent="0.2">
      <c r="B15" s="14" t="s">
        <v>80</v>
      </c>
      <c r="C15" s="20">
        <f t="shared" ref="C15:E17" si="0">C8/C$11</f>
        <v>0.42857142857142855</v>
      </c>
      <c r="D15" s="20">
        <f t="shared" si="0"/>
        <v>0.6</v>
      </c>
      <c r="E15" s="20">
        <f t="shared" si="0"/>
        <v>0.5714285714285714</v>
      </c>
      <c r="F15" s="21">
        <f>AVERAGE(C15:E15)</f>
        <v>0.53333333333333333</v>
      </c>
    </row>
    <row r="16" spans="1:8" x14ac:dyDescent="0.2">
      <c r="B16" s="14" t="s">
        <v>81</v>
      </c>
      <c r="C16" s="20">
        <f t="shared" si="0"/>
        <v>0.42857142857142855</v>
      </c>
      <c r="D16" s="20">
        <f t="shared" si="0"/>
        <v>0.2</v>
      </c>
      <c r="E16" s="20">
        <f t="shared" si="0"/>
        <v>0.14285714285714285</v>
      </c>
      <c r="F16" s="21">
        <f>AVERAGE(C16:E16)</f>
        <v>0.25714285714285712</v>
      </c>
    </row>
    <row r="17" spans="1:6" x14ac:dyDescent="0.2">
      <c r="B17" s="14" t="s">
        <v>82</v>
      </c>
      <c r="C17" s="20">
        <f t="shared" si="0"/>
        <v>0.14285714285714285</v>
      </c>
      <c r="D17" s="20">
        <f t="shared" si="0"/>
        <v>0.2</v>
      </c>
      <c r="E17" s="20">
        <f t="shared" si="0"/>
        <v>0.2857142857142857</v>
      </c>
      <c r="F17" s="21">
        <f>AVERAGE(C17:E17)</f>
        <v>0.20952380952380953</v>
      </c>
    </row>
    <row r="20" spans="1:6" x14ac:dyDescent="0.2">
      <c r="A20" s="28" t="s">
        <v>84</v>
      </c>
    </row>
    <row r="22" spans="1:6" x14ac:dyDescent="0.2">
      <c r="A22" s="2" t="s">
        <v>85</v>
      </c>
    </row>
    <row r="23" spans="1:6" x14ac:dyDescent="0.2">
      <c r="B23" s="2" t="s">
        <v>80</v>
      </c>
      <c r="C23" s="23">
        <f>(C8*$F$15+D8*$F$16+E8*$F$17)/F15</f>
        <v>3.2321428571428568</v>
      </c>
    </row>
    <row r="24" spans="1:6" x14ac:dyDescent="0.2">
      <c r="B24" s="2" t="s">
        <v>81</v>
      </c>
      <c r="C24" s="23">
        <f>(C9*$F$15+D9*$F$16+E9*$F$17)/F16</f>
        <v>3.4814814814814814</v>
      </c>
    </row>
    <row r="25" spans="1:6" x14ac:dyDescent="0.2">
      <c r="B25" s="2" t="s">
        <v>82</v>
      </c>
      <c r="C25" s="23">
        <f>(C10*$F$15+D10*$F$16+E10*$F$17)/F17</f>
        <v>3.0757575757575752</v>
      </c>
    </row>
    <row r="27" spans="1:6" x14ac:dyDescent="0.2">
      <c r="A27" s="2" t="s">
        <v>86</v>
      </c>
      <c r="B27" s="23">
        <f>AVERAGE(C23:C25)</f>
        <v>3.2631273047939708</v>
      </c>
    </row>
    <row r="28" spans="1:6" x14ac:dyDescent="0.2">
      <c r="A28" s="2" t="s">
        <v>87</v>
      </c>
      <c r="B28" s="25">
        <f>(B27-3)/2</f>
        <v>0.13156365239698542</v>
      </c>
    </row>
    <row r="29" spans="1:6" x14ac:dyDescent="0.2">
      <c r="A29" s="2" t="s">
        <v>88</v>
      </c>
      <c r="B29" s="30">
        <v>0.57999999999999996</v>
      </c>
    </row>
    <row r="30" spans="1:6" x14ac:dyDescent="0.2">
      <c r="A30" s="31" t="s">
        <v>89</v>
      </c>
      <c r="B30" s="32">
        <f>B28/B29</f>
        <v>0.22683388344307834</v>
      </c>
      <c r="C30" s="4" t="str">
        <f>IF(B30&lt;0.1,"NHẤT QUÁN"," KHÔNG NHẤT QUÁN")</f>
        <v xml:space="preserve"> KHÔNG NHẤT QUÁN</v>
      </c>
    </row>
    <row r="33" spans="1:5" x14ac:dyDescent="0.2">
      <c r="A33" s="28" t="s">
        <v>90</v>
      </c>
    </row>
    <row r="35" spans="1:5" x14ac:dyDescent="0.2">
      <c r="A35" s="33" t="s">
        <v>91</v>
      </c>
    </row>
    <row r="36" spans="1:5" x14ac:dyDescent="0.2">
      <c r="A36" s="3" t="s">
        <v>92</v>
      </c>
    </row>
    <row r="38" spans="1:5" x14ac:dyDescent="0.2">
      <c r="B38" s="14" t="s">
        <v>93</v>
      </c>
      <c r="C38" s="14" t="s">
        <v>94</v>
      </c>
      <c r="D38" s="14" t="s">
        <v>95</v>
      </c>
      <c r="E38" s="14" t="s">
        <v>96</v>
      </c>
    </row>
    <row r="39" spans="1:5" x14ac:dyDescent="0.2">
      <c r="B39" s="34" t="s">
        <v>80</v>
      </c>
      <c r="C39" s="35">
        <v>67</v>
      </c>
      <c r="D39" s="36">
        <v>113</v>
      </c>
      <c r="E39" s="21">
        <f>C39/D39</f>
        <v>0.59292035398230092</v>
      </c>
    </row>
    <row r="40" spans="1:5" x14ac:dyDescent="0.2">
      <c r="B40" s="34" t="s">
        <v>81</v>
      </c>
      <c r="C40" s="35">
        <v>33</v>
      </c>
      <c r="D40" s="36">
        <v>113</v>
      </c>
      <c r="E40" s="21">
        <f>C40/D40</f>
        <v>0.29203539823008851</v>
      </c>
    </row>
    <row r="41" spans="1:5" x14ac:dyDescent="0.2">
      <c r="B41" s="34" t="s">
        <v>82</v>
      </c>
      <c r="C41" s="35">
        <v>90</v>
      </c>
      <c r="D41" s="36">
        <v>113</v>
      </c>
      <c r="E41" s="21">
        <f>C41/D41</f>
        <v>0.79646017699115046</v>
      </c>
    </row>
    <row r="43" spans="1:5" x14ac:dyDescent="0.2">
      <c r="A43" s="37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3"/>
  <sheetViews>
    <sheetView zoomScaleNormal="100" workbookViewId="0">
      <selection activeCell="A43" sqref="A43"/>
    </sheetView>
  </sheetViews>
  <sheetFormatPr baseColWidth="10" defaultColWidth="8.6640625" defaultRowHeight="15" x14ac:dyDescent="0.2"/>
  <cols>
    <col min="1" max="1" width="30" customWidth="1"/>
    <col min="2" max="2" width="18" customWidth="1"/>
    <col min="3" max="6" width="15" customWidth="1"/>
  </cols>
  <sheetData>
    <row r="1" spans="1:8" ht="18" x14ac:dyDescent="0.2">
      <c r="A1" s="48" t="s">
        <v>97</v>
      </c>
      <c r="B1" s="48"/>
      <c r="C1" s="48"/>
      <c r="D1" s="48"/>
      <c r="E1" s="48"/>
      <c r="F1" s="48"/>
      <c r="G1" s="48"/>
      <c r="H1" s="48"/>
    </row>
    <row r="2" spans="1:8" x14ac:dyDescent="0.2">
      <c r="A2" s="49" t="s">
        <v>98</v>
      </c>
      <c r="B2" s="49"/>
      <c r="C2" s="49"/>
      <c r="D2" s="49"/>
      <c r="E2" s="49"/>
      <c r="F2" s="49"/>
      <c r="G2" s="49"/>
      <c r="H2" s="49"/>
    </row>
    <row r="3" spans="1:8" x14ac:dyDescent="0.2">
      <c r="A3" s="3" t="s">
        <v>99</v>
      </c>
    </row>
    <row r="5" spans="1:8" x14ac:dyDescent="0.2">
      <c r="A5" s="28" t="s">
        <v>78</v>
      </c>
    </row>
    <row r="7" spans="1:8" x14ac:dyDescent="0.2">
      <c r="B7" s="2" t="s">
        <v>100</v>
      </c>
      <c r="C7" s="14" t="s">
        <v>80</v>
      </c>
      <c r="D7" s="14" t="s">
        <v>81</v>
      </c>
      <c r="E7" s="14" t="s">
        <v>82</v>
      </c>
    </row>
    <row r="8" spans="1:8" x14ac:dyDescent="0.2">
      <c r="B8" s="14" t="s">
        <v>80</v>
      </c>
      <c r="C8" s="15">
        <v>1</v>
      </c>
      <c r="D8" s="29">
        <f>1/2</f>
        <v>0.5</v>
      </c>
      <c r="E8" s="15">
        <v>3</v>
      </c>
    </row>
    <row r="9" spans="1:8" x14ac:dyDescent="0.2">
      <c r="B9" s="14" t="s">
        <v>81</v>
      </c>
      <c r="C9" s="29">
        <f>1/C8</f>
        <v>1</v>
      </c>
      <c r="D9" s="15">
        <v>1</v>
      </c>
      <c r="E9" s="15">
        <v>4</v>
      </c>
    </row>
    <row r="10" spans="1:8" x14ac:dyDescent="0.2">
      <c r="B10" s="14" t="s">
        <v>82</v>
      </c>
      <c r="C10" s="29">
        <f>1/D8</f>
        <v>2</v>
      </c>
      <c r="D10" s="29">
        <f>1/D9</f>
        <v>1</v>
      </c>
      <c r="E10" s="15">
        <v>1</v>
      </c>
    </row>
    <row r="11" spans="1:8" x14ac:dyDescent="0.2">
      <c r="B11" s="17" t="s">
        <v>63</v>
      </c>
      <c r="C11" s="18">
        <f>SUM(C8:C10)</f>
        <v>4</v>
      </c>
      <c r="D11" s="18">
        <f>SUM(D8:D10)</f>
        <v>2.5</v>
      </c>
      <c r="E11" s="18">
        <f>SUM(E8:E10)</f>
        <v>8</v>
      </c>
    </row>
    <row r="13" spans="1:8" x14ac:dyDescent="0.2">
      <c r="A13" s="2" t="s">
        <v>83</v>
      </c>
    </row>
    <row r="14" spans="1:8" x14ac:dyDescent="0.2">
      <c r="C14" s="14" t="s">
        <v>80</v>
      </c>
      <c r="D14" s="14" t="s">
        <v>81</v>
      </c>
      <c r="E14" s="14" t="s">
        <v>82</v>
      </c>
      <c r="F14" s="19" t="s">
        <v>65</v>
      </c>
    </row>
    <row r="15" spans="1:8" x14ac:dyDescent="0.2">
      <c r="B15" s="14" t="s">
        <v>80</v>
      </c>
      <c r="C15" s="20">
        <f t="shared" ref="C15:E17" si="0">C8/C$11</f>
        <v>0.25</v>
      </c>
      <c r="D15" s="20">
        <f t="shared" si="0"/>
        <v>0.2</v>
      </c>
      <c r="E15" s="20">
        <f t="shared" si="0"/>
        <v>0.375</v>
      </c>
      <c r="F15" s="21">
        <f>AVERAGE(C15:E15)</f>
        <v>0.27499999999999997</v>
      </c>
    </row>
    <row r="16" spans="1:8" x14ac:dyDescent="0.2">
      <c r="B16" s="14" t="s">
        <v>81</v>
      </c>
      <c r="C16" s="20">
        <f t="shared" si="0"/>
        <v>0.25</v>
      </c>
      <c r="D16" s="20">
        <f t="shared" si="0"/>
        <v>0.4</v>
      </c>
      <c r="E16" s="20">
        <f t="shared" si="0"/>
        <v>0.5</v>
      </c>
      <c r="F16" s="21">
        <f>AVERAGE(C16:E16)</f>
        <v>0.3833333333333333</v>
      </c>
    </row>
    <row r="17" spans="1:6" x14ac:dyDescent="0.2">
      <c r="B17" s="14" t="s">
        <v>82</v>
      </c>
      <c r="C17" s="20">
        <f t="shared" si="0"/>
        <v>0.5</v>
      </c>
      <c r="D17" s="20">
        <f t="shared" si="0"/>
        <v>0.4</v>
      </c>
      <c r="E17" s="20">
        <f t="shared" si="0"/>
        <v>0.125</v>
      </c>
      <c r="F17" s="21">
        <f>AVERAGE(C17:E17)</f>
        <v>0.34166666666666662</v>
      </c>
    </row>
    <row r="20" spans="1:6" x14ac:dyDescent="0.2">
      <c r="A20" s="28" t="s">
        <v>84</v>
      </c>
    </row>
    <row r="22" spans="1:6" x14ac:dyDescent="0.2">
      <c r="A22" s="2" t="s">
        <v>85</v>
      </c>
    </row>
    <row r="23" spans="1:6" x14ac:dyDescent="0.2">
      <c r="B23" s="2" t="s">
        <v>80</v>
      </c>
      <c r="C23" s="23">
        <f>(C8*$F$15+D8*$F$16+E8*$F$17)/F15</f>
        <v>5.4242424242424239</v>
      </c>
    </row>
    <row r="24" spans="1:6" x14ac:dyDescent="0.2">
      <c r="B24" s="2" t="s">
        <v>81</v>
      </c>
      <c r="C24" s="23">
        <f>(C9*$F$15+D9*$F$16+E9*$F$17)/F16</f>
        <v>5.2826086956521729</v>
      </c>
    </row>
    <row r="25" spans="1:6" x14ac:dyDescent="0.2">
      <c r="B25" s="2" t="s">
        <v>82</v>
      </c>
      <c r="C25" s="23">
        <f>(C10*$F$15+D10*$F$16+E10*$F$17)/F17</f>
        <v>3.7317073170731709</v>
      </c>
    </row>
    <row r="27" spans="1:6" x14ac:dyDescent="0.2">
      <c r="A27" s="2" t="s">
        <v>86</v>
      </c>
      <c r="B27" s="23">
        <f>AVERAGE(C23:C25)</f>
        <v>4.81285281232259</v>
      </c>
    </row>
    <row r="28" spans="1:6" x14ac:dyDescent="0.2">
      <c r="A28" s="2" t="s">
        <v>87</v>
      </c>
      <c r="B28" s="25">
        <f>(B27-3)/2</f>
        <v>0.906426406161295</v>
      </c>
    </row>
    <row r="29" spans="1:6" x14ac:dyDescent="0.2">
      <c r="A29" s="2" t="s">
        <v>88</v>
      </c>
      <c r="B29" s="30">
        <v>0.57999999999999996</v>
      </c>
    </row>
    <row r="30" spans="1:6" x14ac:dyDescent="0.2">
      <c r="A30" s="31" t="s">
        <v>89</v>
      </c>
      <c r="B30" s="32">
        <f>B28/B29</f>
        <v>1.562804148553957</v>
      </c>
      <c r="C30" s="4" t="str">
        <f>IF(B30&lt;0.1,"✓ NHẤT QUÁN","✗ KHÔNG NHẤT QUÁN")</f>
        <v>✗ KHÔNG NHẤT QUÁN</v>
      </c>
    </row>
    <row r="33" spans="1:5" x14ac:dyDescent="0.2">
      <c r="A33" s="28" t="s">
        <v>90</v>
      </c>
    </row>
    <row r="35" spans="1:5" x14ac:dyDescent="0.2">
      <c r="A35" s="33" t="s">
        <v>91</v>
      </c>
    </row>
    <row r="36" spans="1:5" x14ac:dyDescent="0.2">
      <c r="A36" s="3" t="s">
        <v>101</v>
      </c>
    </row>
    <row r="38" spans="1:5" x14ac:dyDescent="0.2">
      <c r="B38" s="14" t="s">
        <v>93</v>
      </c>
      <c r="C38" s="14" t="s">
        <v>94</v>
      </c>
      <c r="D38" s="14" t="s">
        <v>95</v>
      </c>
      <c r="E38" s="14" t="s">
        <v>96</v>
      </c>
    </row>
    <row r="39" spans="1:5" x14ac:dyDescent="0.2">
      <c r="B39" s="34" t="s">
        <v>80</v>
      </c>
      <c r="C39" s="35">
        <v>25</v>
      </c>
      <c r="D39" s="36">
        <v>42</v>
      </c>
      <c r="E39" s="21">
        <f>C39/D39</f>
        <v>0.59523809523809523</v>
      </c>
    </row>
    <row r="40" spans="1:5" x14ac:dyDescent="0.2">
      <c r="B40" s="34" t="s">
        <v>81</v>
      </c>
      <c r="C40" s="35">
        <v>12</v>
      </c>
      <c r="D40" s="36">
        <v>42</v>
      </c>
      <c r="E40" s="21">
        <f>C40/D40</f>
        <v>0.2857142857142857</v>
      </c>
    </row>
    <row r="41" spans="1:5" x14ac:dyDescent="0.2">
      <c r="B41" s="34" t="s">
        <v>82</v>
      </c>
      <c r="C41" s="35">
        <v>33</v>
      </c>
      <c r="D41" s="36">
        <v>42</v>
      </c>
      <c r="E41" s="21">
        <f>C41/D41</f>
        <v>0.7857142857142857</v>
      </c>
    </row>
    <row r="43" spans="1:5" x14ac:dyDescent="0.2">
      <c r="A43" s="37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3"/>
  <sheetViews>
    <sheetView zoomScaleNormal="100" workbookViewId="0">
      <selection activeCell="A43" sqref="A43"/>
    </sheetView>
  </sheetViews>
  <sheetFormatPr baseColWidth="10" defaultColWidth="8.6640625" defaultRowHeight="15" x14ac:dyDescent="0.2"/>
  <cols>
    <col min="1" max="1" width="30" customWidth="1"/>
    <col min="2" max="2" width="18" customWidth="1"/>
    <col min="3" max="6" width="15" customWidth="1"/>
  </cols>
  <sheetData>
    <row r="1" spans="1:8" ht="18" x14ac:dyDescent="0.2">
      <c r="A1" s="48" t="s">
        <v>102</v>
      </c>
      <c r="B1" s="48"/>
      <c r="C1" s="48"/>
      <c r="D1" s="48"/>
      <c r="E1" s="48"/>
      <c r="F1" s="48"/>
      <c r="G1" s="48"/>
      <c r="H1" s="48"/>
    </row>
    <row r="2" spans="1:8" x14ac:dyDescent="0.2">
      <c r="A2" s="49" t="s">
        <v>103</v>
      </c>
      <c r="B2" s="49"/>
      <c r="C2" s="49"/>
      <c r="D2" s="49"/>
      <c r="E2" s="49"/>
      <c r="F2" s="49"/>
      <c r="G2" s="49"/>
      <c r="H2" s="49"/>
    </row>
    <row r="3" spans="1:8" x14ac:dyDescent="0.2">
      <c r="A3" s="3" t="s">
        <v>104</v>
      </c>
    </row>
    <row r="5" spans="1:8" x14ac:dyDescent="0.2">
      <c r="A5" s="28" t="s">
        <v>78</v>
      </c>
    </row>
    <row r="7" spans="1:8" x14ac:dyDescent="0.2">
      <c r="B7" s="2" t="s">
        <v>105</v>
      </c>
      <c r="C7" s="14" t="s">
        <v>80</v>
      </c>
      <c r="D7" s="14" t="s">
        <v>81</v>
      </c>
      <c r="E7" s="14" t="s">
        <v>82</v>
      </c>
    </row>
    <row r="8" spans="1:8" x14ac:dyDescent="0.2">
      <c r="B8" s="14" t="s">
        <v>80</v>
      </c>
      <c r="C8" s="15">
        <v>1</v>
      </c>
      <c r="D8" s="15">
        <v>2</v>
      </c>
      <c r="E8" s="29">
        <f>1/2</f>
        <v>0.5</v>
      </c>
    </row>
    <row r="9" spans="1:8" x14ac:dyDescent="0.2">
      <c r="B9" s="14" t="s">
        <v>81</v>
      </c>
      <c r="C9" s="29">
        <f>1/C8</f>
        <v>1</v>
      </c>
      <c r="D9" s="15">
        <v>1</v>
      </c>
      <c r="E9" s="29">
        <f>1/3</f>
        <v>0.33333333333333331</v>
      </c>
    </row>
    <row r="10" spans="1:8" x14ac:dyDescent="0.2">
      <c r="B10" s="14" t="s">
        <v>82</v>
      </c>
      <c r="C10" s="29">
        <f>1/D8</f>
        <v>0.5</v>
      </c>
      <c r="D10" s="29">
        <f>1/D9</f>
        <v>1</v>
      </c>
      <c r="E10" s="15">
        <v>1</v>
      </c>
    </row>
    <row r="11" spans="1:8" x14ac:dyDescent="0.2">
      <c r="B11" s="17" t="s">
        <v>63</v>
      </c>
      <c r="C11" s="18">
        <f>SUM(C8:C10)</f>
        <v>2.5</v>
      </c>
      <c r="D11" s="18">
        <f>SUM(D8:D10)</f>
        <v>4</v>
      </c>
      <c r="E11" s="18">
        <f>SUM(E8:E10)</f>
        <v>1.8333333333333333</v>
      </c>
    </row>
    <row r="13" spans="1:8" x14ac:dyDescent="0.2">
      <c r="A13" s="2" t="s">
        <v>83</v>
      </c>
    </row>
    <row r="14" spans="1:8" x14ac:dyDescent="0.2">
      <c r="C14" s="14" t="s">
        <v>80</v>
      </c>
      <c r="D14" s="14" t="s">
        <v>81</v>
      </c>
      <c r="E14" s="14" t="s">
        <v>82</v>
      </c>
      <c r="F14" s="19" t="s">
        <v>65</v>
      </c>
    </row>
    <row r="15" spans="1:8" x14ac:dyDescent="0.2">
      <c r="B15" s="14" t="s">
        <v>80</v>
      </c>
      <c r="C15" s="20">
        <f t="shared" ref="C15:E17" si="0">C8/C$11</f>
        <v>0.4</v>
      </c>
      <c r="D15" s="20">
        <f t="shared" si="0"/>
        <v>0.5</v>
      </c>
      <c r="E15" s="20">
        <f t="shared" si="0"/>
        <v>0.27272727272727276</v>
      </c>
      <c r="F15" s="21">
        <f>AVERAGE(C15:E15)</f>
        <v>0.39090909090909093</v>
      </c>
    </row>
    <row r="16" spans="1:8" x14ac:dyDescent="0.2">
      <c r="B16" s="14" t="s">
        <v>81</v>
      </c>
      <c r="C16" s="20">
        <f t="shared" si="0"/>
        <v>0.4</v>
      </c>
      <c r="D16" s="20">
        <f t="shared" si="0"/>
        <v>0.25</v>
      </c>
      <c r="E16" s="20">
        <f t="shared" si="0"/>
        <v>0.18181818181818182</v>
      </c>
      <c r="F16" s="21">
        <f>AVERAGE(C16:E16)</f>
        <v>0.27727272727272728</v>
      </c>
    </row>
    <row r="17" spans="1:6" x14ac:dyDescent="0.2">
      <c r="B17" s="14" t="s">
        <v>82</v>
      </c>
      <c r="C17" s="20">
        <f t="shared" si="0"/>
        <v>0.2</v>
      </c>
      <c r="D17" s="20">
        <f t="shared" si="0"/>
        <v>0.25</v>
      </c>
      <c r="E17" s="20">
        <f t="shared" si="0"/>
        <v>0.54545454545454553</v>
      </c>
      <c r="F17" s="21">
        <f>AVERAGE(C17:E17)</f>
        <v>0.33181818181818185</v>
      </c>
    </row>
    <row r="20" spans="1:6" x14ac:dyDescent="0.2">
      <c r="A20" s="28" t="s">
        <v>84</v>
      </c>
    </row>
    <row r="22" spans="1:6" x14ac:dyDescent="0.2">
      <c r="A22" s="2" t="s">
        <v>85</v>
      </c>
    </row>
    <row r="23" spans="1:6" x14ac:dyDescent="0.2">
      <c r="B23" s="2" t="s">
        <v>80</v>
      </c>
      <c r="C23" s="23">
        <f>(C8*$F$15+D8*$F$16+E8*$F$17)/F15</f>
        <v>2.8430232558139537</v>
      </c>
    </row>
    <row r="24" spans="1:6" x14ac:dyDescent="0.2">
      <c r="B24" s="2" t="s">
        <v>81</v>
      </c>
      <c r="C24" s="23">
        <f>(C9*$F$15+D9*$F$16+E9*$F$17)/F16</f>
        <v>2.8087431693989071</v>
      </c>
    </row>
    <row r="25" spans="1:6" x14ac:dyDescent="0.2">
      <c r="B25" s="2" t="s">
        <v>82</v>
      </c>
      <c r="C25" s="23">
        <f>(C10*$F$15+D10*$F$16+E10*$F$17)/F17</f>
        <v>2.4246575342465757</v>
      </c>
    </row>
    <row r="27" spans="1:6" x14ac:dyDescent="0.2">
      <c r="A27" s="2" t="s">
        <v>86</v>
      </c>
      <c r="B27" s="23">
        <f>AVERAGE(C23:C25)</f>
        <v>2.6921413198198123</v>
      </c>
    </row>
    <row r="28" spans="1:6" x14ac:dyDescent="0.2">
      <c r="A28" s="2" t="s">
        <v>87</v>
      </c>
      <c r="B28" s="25">
        <f>(B27-3)/2</f>
        <v>-0.15392934009009385</v>
      </c>
    </row>
    <row r="29" spans="1:6" x14ac:dyDescent="0.2">
      <c r="A29" s="2" t="s">
        <v>88</v>
      </c>
      <c r="B29" s="30">
        <v>0.57999999999999996</v>
      </c>
    </row>
    <row r="30" spans="1:6" x14ac:dyDescent="0.2">
      <c r="A30" s="31" t="s">
        <v>89</v>
      </c>
      <c r="B30" s="32">
        <f>B28/B29</f>
        <v>-0.26539541394843769</v>
      </c>
      <c r="C30" s="4" t="str">
        <f>IF(B30&lt;0.1,"✓ NHẤT QUÁN","✗ KHÔNG NHẤT QUÁN")</f>
        <v>✓ NHẤT QUÁN</v>
      </c>
    </row>
    <row r="33" spans="1:5" x14ac:dyDescent="0.2">
      <c r="A33" s="28" t="s">
        <v>90</v>
      </c>
    </row>
    <row r="35" spans="1:5" x14ac:dyDescent="0.2">
      <c r="A35" s="33" t="s">
        <v>91</v>
      </c>
    </row>
    <row r="36" spans="1:5" x14ac:dyDescent="0.2">
      <c r="A36" s="3" t="s">
        <v>106</v>
      </c>
    </row>
    <row r="38" spans="1:5" x14ac:dyDescent="0.2">
      <c r="B38" s="14" t="s">
        <v>93</v>
      </c>
      <c r="C38" s="14" t="s">
        <v>94</v>
      </c>
      <c r="D38" s="14" t="s">
        <v>95</v>
      </c>
      <c r="E38" s="14" t="s">
        <v>96</v>
      </c>
    </row>
    <row r="39" spans="1:5" x14ac:dyDescent="0.2">
      <c r="B39" s="34" t="s">
        <v>80</v>
      </c>
      <c r="C39" s="35">
        <v>14</v>
      </c>
      <c r="D39" s="36">
        <v>24</v>
      </c>
      <c r="E39" s="21">
        <f>C39/D39</f>
        <v>0.58333333333333337</v>
      </c>
    </row>
    <row r="40" spans="1:5" x14ac:dyDescent="0.2">
      <c r="B40" s="34" t="s">
        <v>81</v>
      </c>
      <c r="C40" s="35">
        <v>7</v>
      </c>
      <c r="D40" s="36">
        <v>24</v>
      </c>
      <c r="E40" s="21">
        <f>C40/D40</f>
        <v>0.29166666666666669</v>
      </c>
    </row>
    <row r="41" spans="1:5" x14ac:dyDescent="0.2">
      <c r="B41" s="34" t="s">
        <v>82</v>
      </c>
      <c r="C41" s="35">
        <v>19</v>
      </c>
      <c r="D41" s="36">
        <v>24</v>
      </c>
      <c r="E41" s="21">
        <f>C41/D41</f>
        <v>0.79166666666666663</v>
      </c>
    </row>
    <row r="43" spans="1:5" x14ac:dyDescent="0.2">
      <c r="A43" s="37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3"/>
  <sheetViews>
    <sheetView zoomScaleNormal="100" workbookViewId="0">
      <selection activeCell="M21" sqref="M21"/>
    </sheetView>
  </sheetViews>
  <sheetFormatPr baseColWidth="10" defaultColWidth="8.6640625" defaultRowHeight="15" x14ac:dyDescent="0.2"/>
  <cols>
    <col min="1" max="1" width="30" customWidth="1"/>
    <col min="2" max="2" width="18" customWidth="1"/>
    <col min="3" max="6" width="15" customWidth="1"/>
  </cols>
  <sheetData>
    <row r="1" spans="1:8" ht="18" x14ac:dyDescent="0.2">
      <c r="A1" s="48" t="s">
        <v>107</v>
      </c>
      <c r="B1" s="48"/>
      <c r="C1" s="48"/>
      <c r="D1" s="48"/>
      <c r="E1" s="48"/>
      <c r="F1" s="48"/>
      <c r="G1" s="48"/>
      <c r="H1" s="48"/>
    </row>
    <row r="2" spans="1:8" x14ac:dyDescent="0.2">
      <c r="A2" s="49" t="s">
        <v>108</v>
      </c>
      <c r="B2" s="49"/>
      <c r="C2" s="49"/>
      <c r="D2" s="49"/>
      <c r="E2" s="49"/>
      <c r="F2" s="49"/>
      <c r="G2" s="49"/>
      <c r="H2" s="49"/>
    </row>
    <row r="3" spans="1:8" x14ac:dyDescent="0.2">
      <c r="A3" s="3" t="s">
        <v>109</v>
      </c>
    </row>
    <row r="5" spans="1:8" x14ac:dyDescent="0.2">
      <c r="A5" s="28" t="s">
        <v>78</v>
      </c>
    </row>
    <row r="7" spans="1:8" x14ac:dyDescent="0.2">
      <c r="B7" s="2" t="s">
        <v>22</v>
      </c>
      <c r="C7" s="14" t="s">
        <v>80</v>
      </c>
      <c r="D7" s="14" t="s">
        <v>81</v>
      </c>
      <c r="E7" s="14" t="s">
        <v>82</v>
      </c>
    </row>
    <row r="8" spans="1:8" x14ac:dyDescent="0.2">
      <c r="B8" s="14" t="s">
        <v>80</v>
      </c>
      <c r="C8" s="15">
        <v>1</v>
      </c>
      <c r="D8" s="29">
        <f>1/4</f>
        <v>0.25</v>
      </c>
      <c r="E8" s="29">
        <f>1/2</f>
        <v>0.5</v>
      </c>
    </row>
    <row r="9" spans="1:8" x14ac:dyDescent="0.2">
      <c r="B9" s="14" t="s">
        <v>81</v>
      </c>
      <c r="C9" s="29">
        <f>1/C8</f>
        <v>1</v>
      </c>
      <c r="D9" s="15">
        <v>1</v>
      </c>
      <c r="E9" s="15">
        <v>2</v>
      </c>
    </row>
    <row r="10" spans="1:8" x14ac:dyDescent="0.2">
      <c r="B10" s="14" t="s">
        <v>82</v>
      </c>
      <c r="C10" s="29">
        <f>1/D8</f>
        <v>4</v>
      </c>
      <c r="D10" s="29">
        <f>1/D9</f>
        <v>1</v>
      </c>
      <c r="E10" s="15">
        <v>1</v>
      </c>
    </row>
    <row r="11" spans="1:8" x14ac:dyDescent="0.2">
      <c r="B11" s="17" t="s">
        <v>63</v>
      </c>
      <c r="C11" s="18">
        <f>SUM(C8:C10)</f>
        <v>6</v>
      </c>
      <c r="D11" s="18">
        <f>SUM(D8:D10)</f>
        <v>2.25</v>
      </c>
      <c r="E11" s="18">
        <f>SUM(E8:E10)</f>
        <v>3.5</v>
      </c>
    </row>
    <row r="13" spans="1:8" x14ac:dyDescent="0.2">
      <c r="A13" s="2" t="s">
        <v>83</v>
      </c>
    </row>
    <row r="14" spans="1:8" x14ac:dyDescent="0.2">
      <c r="C14" s="14" t="s">
        <v>80</v>
      </c>
      <c r="D14" s="14" t="s">
        <v>81</v>
      </c>
      <c r="E14" s="14" t="s">
        <v>82</v>
      </c>
      <c r="F14" s="19" t="s">
        <v>65</v>
      </c>
    </row>
    <row r="15" spans="1:8" x14ac:dyDescent="0.2">
      <c r="B15" s="14" t="s">
        <v>80</v>
      </c>
      <c r="C15" s="20">
        <f t="shared" ref="C15:E17" si="0">C8/C$11</f>
        <v>0.16666666666666666</v>
      </c>
      <c r="D15" s="20">
        <f t="shared" si="0"/>
        <v>0.1111111111111111</v>
      </c>
      <c r="E15" s="20">
        <f t="shared" si="0"/>
        <v>0.14285714285714285</v>
      </c>
      <c r="F15" s="21">
        <f>AVERAGE(C15:E15)</f>
        <v>0.1402116402116402</v>
      </c>
    </row>
    <row r="16" spans="1:8" x14ac:dyDescent="0.2">
      <c r="B16" s="14" t="s">
        <v>81</v>
      </c>
      <c r="C16" s="20">
        <f t="shared" si="0"/>
        <v>0.16666666666666666</v>
      </c>
      <c r="D16" s="20">
        <f t="shared" si="0"/>
        <v>0.44444444444444442</v>
      </c>
      <c r="E16" s="20">
        <f t="shared" si="0"/>
        <v>0.5714285714285714</v>
      </c>
      <c r="F16" s="21">
        <f>AVERAGE(C16:E16)</f>
        <v>0.39417989417989413</v>
      </c>
    </row>
    <row r="17" spans="1:6" x14ac:dyDescent="0.2">
      <c r="B17" s="14" t="s">
        <v>82</v>
      </c>
      <c r="C17" s="20">
        <f t="shared" si="0"/>
        <v>0.66666666666666663</v>
      </c>
      <c r="D17" s="20">
        <f t="shared" si="0"/>
        <v>0.44444444444444442</v>
      </c>
      <c r="E17" s="20">
        <f t="shared" si="0"/>
        <v>0.2857142857142857</v>
      </c>
      <c r="F17" s="21">
        <f>AVERAGE(C17:E17)</f>
        <v>0.46560846560846558</v>
      </c>
    </row>
    <row r="20" spans="1:6" x14ac:dyDescent="0.2">
      <c r="A20" s="28" t="s">
        <v>84</v>
      </c>
    </row>
    <row r="22" spans="1:6" x14ac:dyDescent="0.2">
      <c r="A22" s="2" t="s">
        <v>85</v>
      </c>
    </row>
    <row r="23" spans="1:6" x14ac:dyDescent="0.2">
      <c r="B23" s="2" t="s">
        <v>80</v>
      </c>
      <c r="C23" s="23">
        <f>(C8*$F$15+D8*$F$16+E8*$F$17)/F15</f>
        <v>3.3632075471698113</v>
      </c>
    </row>
    <row r="24" spans="1:6" x14ac:dyDescent="0.2">
      <c r="B24" s="2" t="s">
        <v>81</v>
      </c>
      <c r="C24" s="23">
        <f>(C9*$F$15+D9*$F$16+E9*$F$17)/F16</f>
        <v>3.7181208053691277</v>
      </c>
    </row>
    <row r="25" spans="1:6" x14ac:dyDescent="0.2">
      <c r="B25" s="2" t="s">
        <v>82</v>
      </c>
      <c r="C25" s="23">
        <f>(C10*$F$15+D10*$F$16+E10*$F$17)/F17</f>
        <v>3.0511363636363633</v>
      </c>
    </row>
    <row r="27" spans="1:6" x14ac:dyDescent="0.2">
      <c r="A27" s="2" t="s">
        <v>86</v>
      </c>
      <c r="B27" s="23">
        <f>AVERAGE(C23:C25)</f>
        <v>3.3774882387251011</v>
      </c>
    </row>
    <row r="28" spans="1:6" x14ac:dyDescent="0.2">
      <c r="A28" s="2" t="s">
        <v>87</v>
      </c>
      <c r="B28" s="25">
        <f>(B27-3)/2</f>
        <v>0.18874411936255053</v>
      </c>
    </row>
    <row r="29" spans="1:6" x14ac:dyDescent="0.2">
      <c r="A29" s="2" t="s">
        <v>88</v>
      </c>
      <c r="B29" s="30">
        <v>0.57999999999999996</v>
      </c>
    </row>
    <row r="30" spans="1:6" x14ac:dyDescent="0.2">
      <c r="A30" s="31" t="s">
        <v>89</v>
      </c>
      <c r="B30" s="32">
        <f>B28/B29</f>
        <v>0.32542089545267333</v>
      </c>
      <c r="C30" s="4" t="str">
        <f>IF(B30&lt;0.1,"✓ NHẤT QUÁN","✗ KHÔNG NHẤT QUÁN")</f>
        <v>✗ KHÔNG NHẤT QUÁN</v>
      </c>
    </row>
    <row r="33" spans="1:5" x14ac:dyDescent="0.2">
      <c r="A33" s="28" t="s">
        <v>90</v>
      </c>
    </row>
    <row r="35" spans="1:5" x14ac:dyDescent="0.2">
      <c r="A35" s="33" t="s">
        <v>91</v>
      </c>
    </row>
    <row r="36" spans="1:5" x14ac:dyDescent="0.2">
      <c r="A36" s="3" t="s">
        <v>110</v>
      </c>
    </row>
    <row r="38" spans="1:5" x14ac:dyDescent="0.2">
      <c r="B38" s="14" t="s">
        <v>93</v>
      </c>
      <c r="C38" s="14" t="s">
        <v>94</v>
      </c>
      <c r="D38" s="14" t="s">
        <v>95</v>
      </c>
      <c r="E38" s="14" t="s">
        <v>96</v>
      </c>
    </row>
    <row r="39" spans="1:5" x14ac:dyDescent="0.2">
      <c r="B39" s="34" t="s">
        <v>80</v>
      </c>
      <c r="C39" s="35">
        <v>21</v>
      </c>
      <c r="D39" s="36">
        <v>36</v>
      </c>
      <c r="E39" s="21">
        <f>C39/D39</f>
        <v>0.58333333333333337</v>
      </c>
    </row>
    <row r="40" spans="1:5" x14ac:dyDescent="0.2">
      <c r="B40" s="34" t="s">
        <v>81</v>
      </c>
      <c r="C40" s="35">
        <v>10</v>
      </c>
      <c r="D40" s="36">
        <v>36</v>
      </c>
      <c r="E40" s="21">
        <f>C40/D40</f>
        <v>0.27777777777777779</v>
      </c>
    </row>
    <row r="41" spans="1:5" x14ac:dyDescent="0.2">
      <c r="B41" s="34" t="s">
        <v>82</v>
      </c>
      <c r="C41" s="35">
        <v>28</v>
      </c>
      <c r="D41" s="36">
        <v>36</v>
      </c>
      <c r="E41" s="21">
        <f>C41/D41</f>
        <v>0.77777777777777779</v>
      </c>
    </row>
    <row r="43" spans="1:5" x14ac:dyDescent="0.2">
      <c r="A43" s="37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5"/>
  <sheetViews>
    <sheetView tabSelected="1" zoomScaleNormal="100" workbookViewId="0">
      <selection activeCell="E48" sqref="E48"/>
    </sheetView>
  </sheetViews>
  <sheetFormatPr baseColWidth="10" defaultColWidth="8.6640625" defaultRowHeight="15" x14ac:dyDescent="0.2"/>
  <cols>
    <col min="1" max="1" width="35" customWidth="1"/>
    <col min="2" max="2" width="20" customWidth="1"/>
    <col min="3" max="3" width="18" customWidth="1"/>
    <col min="4" max="5" width="30" customWidth="1"/>
  </cols>
  <sheetData>
    <row r="1" spans="1:8" ht="18" x14ac:dyDescent="0.2">
      <c r="A1" s="46" t="s">
        <v>111</v>
      </c>
      <c r="B1" s="46"/>
      <c r="C1" s="46"/>
      <c r="D1" s="46"/>
      <c r="E1" s="46"/>
      <c r="F1" s="46"/>
      <c r="G1" s="46"/>
      <c r="H1" s="46"/>
    </row>
    <row r="3" spans="1:8" ht="16" x14ac:dyDescent="0.2">
      <c r="A3" s="50" t="s">
        <v>112</v>
      </c>
      <c r="B3" s="50"/>
      <c r="C3" s="50"/>
      <c r="D3" s="50"/>
      <c r="E3" s="50"/>
      <c r="F3" s="50"/>
      <c r="G3" s="50"/>
      <c r="H3" s="50"/>
    </row>
    <row r="5" spans="1:8" x14ac:dyDescent="0.2">
      <c r="A5" s="28" t="s">
        <v>113</v>
      </c>
    </row>
    <row r="6" spans="1:8" x14ac:dyDescent="0.2">
      <c r="B6" s="14" t="s">
        <v>114</v>
      </c>
      <c r="C6" s="14" t="s">
        <v>65</v>
      </c>
      <c r="D6" s="14" t="s">
        <v>115</v>
      </c>
    </row>
    <row r="7" spans="1:8" x14ac:dyDescent="0.2">
      <c r="B7" s="38" t="s">
        <v>59</v>
      </c>
      <c r="C7" s="21">
        <f>'2. So sánh 4 Tiêu chí'!G15</f>
        <v>0.43278943278943283</v>
      </c>
      <c r="D7" s="39" t="s">
        <v>116</v>
      </c>
    </row>
    <row r="8" spans="1:8" x14ac:dyDescent="0.2">
      <c r="B8" s="38" t="s">
        <v>60</v>
      </c>
      <c r="C8" s="21">
        <f>'2. So sánh 4 Tiêu chí'!G16</f>
        <v>0.30885780885780884</v>
      </c>
      <c r="D8" s="39" t="s">
        <v>116</v>
      </c>
    </row>
    <row r="9" spans="1:8" x14ac:dyDescent="0.2">
      <c r="B9" s="38" t="s">
        <v>61</v>
      </c>
      <c r="C9" s="21">
        <f>'2. So sánh 4 Tiêu chí'!G17</f>
        <v>0.15015540015540013</v>
      </c>
      <c r="D9" s="39" t="s">
        <v>116</v>
      </c>
    </row>
    <row r="10" spans="1:8" x14ac:dyDescent="0.2">
      <c r="B10" s="38" t="s">
        <v>62</v>
      </c>
      <c r="C10" s="21">
        <f>'2. So sánh 4 Tiêu chí'!G18</f>
        <v>0.10819735819735821</v>
      </c>
      <c r="D10" s="39" t="s">
        <v>116</v>
      </c>
    </row>
    <row r="12" spans="1:8" x14ac:dyDescent="0.2">
      <c r="A12" s="28" t="s">
        <v>117</v>
      </c>
    </row>
    <row r="13" spans="1:8" x14ac:dyDescent="0.2">
      <c r="B13" s="14" t="s">
        <v>93</v>
      </c>
      <c r="C13" s="14" t="s">
        <v>118</v>
      </c>
      <c r="D13" s="14" t="s">
        <v>119</v>
      </c>
      <c r="E13" s="14" t="s">
        <v>120</v>
      </c>
      <c r="F13" s="14" t="s">
        <v>121</v>
      </c>
    </row>
    <row r="14" spans="1:8" x14ac:dyDescent="0.2">
      <c r="B14" s="14" t="s">
        <v>122</v>
      </c>
      <c r="C14" s="20">
        <f>'3. C1-Permissions'!E39</f>
        <v>0.59292035398230092</v>
      </c>
      <c r="D14" s="20">
        <f>'4. C2-API Calls'!E39</f>
        <v>0.59523809523809523</v>
      </c>
      <c r="E14" s="20">
        <f>'5. C3-Intents'!E39</f>
        <v>0.58333333333333337</v>
      </c>
      <c r="F14" s="20">
        <f>'6. C4-Commands'!E39</f>
        <v>0.58333333333333337</v>
      </c>
    </row>
    <row r="15" spans="1:8" x14ac:dyDescent="0.2">
      <c r="B15" s="14" t="s">
        <v>123</v>
      </c>
      <c r="C15" s="20">
        <f>'3. C1-Permissions'!E40</f>
        <v>0.29203539823008851</v>
      </c>
      <c r="D15" s="20">
        <f>'4. C2-API Calls'!E40</f>
        <v>0.2857142857142857</v>
      </c>
      <c r="E15" s="20">
        <f>'5. C3-Intents'!E40</f>
        <v>0.29166666666666669</v>
      </c>
      <c r="F15" s="20">
        <f>'6. C4-Commands'!E40</f>
        <v>0.27777777777777779</v>
      </c>
    </row>
    <row r="16" spans="1:8" x14ac:dyDescent="0.2">
      <c r="B16" s="14" t="s">
        <v>124</v>
      </c>
      <c r="C16" s="20">
        <f>'3. C1-Permissions'!E41</f>
        <v>0.79646017699115046</v>
      </c>
      <c r="D16" s="20">
        <f>'4. C2-API Calls'!E41</f>
        <v>0.7857142857142857</v>
      </c>
      <c r="E16" s="20">
        <f>'5. C3-Intents'!E41</f>
        <v>0.79166666666666663</v>
      </c>
      <c r="F16" s="20">
        <f>'6. C4-Commands'!E41</f>
        <v>0.77777777777777779</v>
      </c>
    </row>
    <row r="18" spans="1:4" x14ac:dyDescent="0.2">
      <c r="A18" s="28" t="s">
        <v>125</v>
      </c>
    </row>
    <row r="19" spans="1:4" x14ac:dyDescent="0.2">
      <c r="B19" t="s">
        <v>126</v>
      </c>
      <c r="C19" s="40">
        <v>0.4</v>
      </c>
      <c r="D19" s="5" t="s">
        <v>127</v>
      </c>
    </row>
    <row r="21" spans="1:4" x14ac:dyDescent="0.2">
      <c r="B21" s="14" t="s">
        <v>93</v>
      </c>
      <c r="C21" s="14" t="s">
        <v>128</v>
      </c>
    </row>
    <row r="22" spans="1:4" x14ac:dyDescent="0.2">
      <c r="B22" s="38" t="s">
        <v>122</v>
      </c>
      <c r="C22" s="41">
        <v>0.85</v>
      </c>
    </row>
    <row r="23" spans="1:4" x14ac:dyDescent="0.2">
      <c r="B23" s="38" t="s">
        <v>123</v>
      </c>
      <c r="C23" s="41">
        <v>0.42</v>
      </c>
    </row>
    <row r="24" spans="1:4" x14ac:dyDescent="0.2">
      <c r="B24" s="38" t="s">
        <v>124</v>
      </c>
      <c r="C24" s="41">
        <v>0.91</v>
      </c>
    </row>
    <row r="26" spans="1:4" x14ac:dyDescent="0.2">
      <c r="A26" s="37" t="s">
        <v>129</v>
      </c>
    </row>
    <row r="29" spans="1:4" ht="16" x14ac:dyDescent="0.2">
      <c r="A29" s="42" t="s">
        <v>130</v>
      </c>
    </row>
    <row r="30" spans="1:4" x14ac:dyDescent="0.2">
      <c r="B30" s="14" t="s">
        <v>93</v>
      </c>
      <c r="C30" s="14" t="s">
        <v>131</v>
      </c>
      <c r="D30" s="14" t="s">
        <v>132</v>
      </c>
    </row>
    <row r="31" spans="1:4" ht="16" x14ac:dyDescent="0.2">
      <c r="B31" s="38" t="s">
        <v>122</v>
      </c>
      <c r="C31" s="43">
        <f>$C$19*C22+$C$7*C14+$C$8*D14+$C$9*E14+$C$10*F14</f>
        <v>0.93115937323901932</v>
      </c>
      <c r="D31" s="39" t="s">
        <v>133</v>
      </c>
    </row>
    <row r="32" spans="1:4" ht="16" x14ac:dyDescent="0.2">
      <c r="B32" s="38" t="s">
        <v>123</v>
      </c>
      <c r="C32" s="43">
        <f>$C$19*C23+$C$7*C15+$C$8*D15+$C$9*E15+$C$10*F15</f>
        <v>0.45648506936633776</v>
      </c>
      <c r="D32" s="39" t="s">
        <v>133</v>
      </c>
    </row>
    <row r="33" spans="1:5" ht="16" x14ac:dyDescent="0.2">
      <c r="B33" s="38" t="s">
        <v>124</v>
      </c>
      <c r="C33" s="43">
        <f>$C$19*C24+$C$7*C16+$C$8*D16+$C$9*E16+$C$10*F16</f>
        <v>1.1544000668565564</v>
      </c>
      <c r="D33" s="39" t="s">
        <v>133</v>
      </c>
    </row>
    <row r="36" spans="1:5" ht="16" x14ac:dyDescent="0.2">
      <c r="A36" s="42" t="s">
        <v>134</v>
      </c>
    </row>
    <row r="37" spans="1:5" x14ac:dyDescent="0.2">
      <c r="B37" s="14" t="s">
        <v>93</v>
      </c>
      <c r="C37" s="14" t="s">
        <v>131</v>
      </c>
      <c r="D37" s="14" t="s">
        <v>135</v>
      </c>
      <c r="E37" s="14" t="s">
        <v>136</v>
      </c>
    </row>
    <row r="38" spans="1:5" x14ac:dyDescent="0.2">
      <c r="B38" s="38" t="s">
        <v>122</v>
      </c>
      <c r="C38" s="44">
        <f>C31</f>
        <v>0.93115937323901932</v>
      </c>
      <c r="D38" s="38" t="str">
        <f>IF(C38&lt;0.3,"AN TOÀN",IF(C38&lt;0.7,"NGHI NGỜ","NGUY HIỂM"))</f>
        <v>NGUY HIỂM</v>
      </c>
      <c r="E38" s="45" t="str">
        <f>IF(D38="AN TOÀN"," Cho phép cài đặt",IF(D38="NGHI NGỜ"," Cảnh báo người dùng"," CHẶN/XÓA NGAY"))</f>
        <v xml:space="preserve"> CHẶN/XÓA NGAY</v>
      </c>
    </row>
    <row r="39" spans="1:5" x14ac:dyDescent="0.2">
      <c r="B39" s="38" t="s">
        <v>123</v>
      </c>
      <c r="C39" s="44">
        <f>C32</f>
        <v>0.45648506936633776</v>
      </c>
      <c r="D39" s="38" t="str">
        <f>IF(C39&lt;0.3,"AN TOÀN",IF(C39&lt;0.7,"NGHI NGỜ","NGUY HIỂM"))</f>
        <v>NGHI NGỜ</v>
      </c>
      <c r="E39" s="45" t="str">
        <f>IF(D39="AN TOÀN","Cho phép cài đặt",IF(D39="NGHI NGỜ","Cảnh báo người dùng","✗ CHẶN/XÓA NGAY"))</f>
        <v>Cảnh báo người dùng</v>
      </c>
    </row>
    <row r="40" spans="1:5" x14ac:dyDescent="0.2">
      <c r="B40" s="38" t="s">
        <v>124</v>
      </c>
      <c r="C40" s="44">
        <f>C33</f>
        <v>1.1544000668565564</v>
      </c>
      <c r="D40" s="38" t="str">
        <f>IF(C40&lt;0.3,"AN TOÀN",IF(C40&lt;0.7,"NGHI NGỜ","NGUY HIỂM"))</f>
        <v>NGUY HIỂM</v>
      </c>
      <c r="E40" s="45" t="str">
        <f>IF(D40="AN TOÀN","Cho phép cài đặt",IF(D40="NGHI NGỜ","Cảnh báo người dùng"," CHẶN/XÓA NGAY"))</f>
        <v xml:space="preserve"> CHẶN/XÓA NGAY</v>
      </c>
    </row>
    <row r="42" spans="1:5" x14ac:dyDescent="0.2">
      <c r="A42" s="2" t="s">
        <v>137</v>
      </c>
    </row>
    <row r="43" spans="1:5" x14ac:dyDescent="0.2">
      <c r="B43" s="10" t="s">
        <v>138</v>
      </c>
      <c r="C43" s="10" t="s">
        <v>139</v>
      </c>
    </row>
    <row r="44" spans="1:5" x14ac:dyDescent="0.2">
      <c r="B44" s="11" t="s">
        <v>140</v>
      </c>
      <c r="C44" s="11" t="s">
        <v>141</v>
      </c>
    </row>
    <row r="45" spans="1:5" x14ac:dyDescent="0.2">
      <c r="B45" s="12" t="s">
        <v>142</v>
      </c>
      <c r="C45" s="12" t="s">
        <v>143</v>
      </c>
    </row>
  </sheetData>
  <mergeCells count="2">
    <mergeCell ref="A1:H1"/>
    <mergeCell ref="A3:H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Tổng quan &amp; Công thức</vt:lpstr>
      <vt:lpstr>2. So sánh 4 Tiêu chí</vt:lpstr>
      <vt:lpstr>3. C1-Permissions</vt:lpstr>
      <vt:lpstr>4. C2-API Calls</vt:lpstr>
      <vt:lpstr>5. C3-Intents</vt:lpstr>
      <vt:lpstr>6. C4-Commands</vt:lpstr>
      <vt:lpstr>7. RiskScore &amp; Verdict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Nguyen Van Toan</cp:lastModifiedBy>
  <cp:revision>0</cp:revision>
  <dcterms:created xsi:type="dcterms:W3CDTF">2026-02-06T11:12:44Z</dcterms:created>
  <dcterms:modified xsi:type="dcterms:W3CDTF">2026-02-06T14:03:22Z</dcterms:modified>
  <dc:language>en-US</dc:language>
</cp:coreProperties>
</file>